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d0c010f5edc170f1/Desktop/"/>
    </mc:Choice>
  </mc:AlternateContent>
  <xr:revisionPtr revIDLastSave="315" documentId="13_ncr:1_{2CAC02B2-926A-468C-89F1-5CF3FD9D4BC2}" xr6:coauthVersionLast="47" xr6:coauthVersionMax="47" xr10:uidLastSave="{25C2CCE1-525B-4D58-97A0-65CBD5C8FF84}"/>
  <bookViews>
    <workbookView xWindow="-108" yWindow="-108" windowWidth="23256" windowHeight="12456" activeTab="1" xr2:uid="{31B9B820-085B-4827-96C3-1365F7BDCD53}"/>
  </bookViews>
  <sheets>
    <sheet name="Sheet1" sheetId="2" r:id="rId1"/>
    <sheet name="AI_globaldashboard" sheetId="3" r:id="rId2"/>
    <sheet name="Sheet3" sheetId="4" r:id="rId3"/>
    <sheet name="Sheet4" sheetId="5" r:id="rId4"/>
    <sheet name="Sheet5" sheetId="6" r:id="rId5"/>
    <sheet name="Sheet6" sheetId="7" r:id="rId6"/>
    <sheet name="Sheet2" sheetId="8" r:id="rId7"/>
    <sheet name="AI_index_db" sheetId="1" r:id="rId8"/>
  </sheets>
  <definedNames>
    <definedName name="_xlnm._FilterDatabase" localSheetId="7" hidden="1">AI_index_db!$A$1:$A$63</definedName>
    <definedName name="Slicer_Commercial">#N/A</definedName>
    <definedName name="Slicer_Country">#N/A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6" i="1" l="1"/>
  <c r="P7" i="1"/>
  <c r="P4" i="1"/>
  <c r="P10" i="1"/>
  <c r="P12" i="1"/>
  <c r="P43" i="1"/>
</calcChain>
</file>

<file path=xl/sharedStrings.xml><?xml version="1.0" encoding="utf-8"?>
<sst xmlns="http://schemas.openxmlformats.org/spreadsheetml/2006/main" count="356" uniqueCount="101">
  <si>
    <t>Country</t>
  </si>
  <si>
    <t>Talent</t>
  </si>
  <si>
    <t>Infrastructure</t>
  </si>
  <si>
    <t>Operating Environment</t>
  </si>
  <si>
    <t>Research</t>
  </si>
  <si>
    <t>Development</t>
  </si>
  <si>
    <t>Government Strategy</t>
  </si>
  <si>
    <t>Commercial</t>
  </si>
  <si>
    <t>Total score</t>
  </si>
  <si>
    <t>Region</t>
  </si>
  <si>
    <t>Cluster</t>
  </si>
  <si>
    <t>Income group</t>
  </si>
  <si>
    <t>Political regime</t>
  </si>
  <si>
    <t>United States of America</t>
  </si>
  <si>
    <t>Americas</t>
  </si>
  <si>
    <t>Power players</t>
  </si>
  <si>
    <t>High</t>
  </si>
  <si>
    <t>Liberal democracy</t>
  </si>
  <si>
    <t>China</t>
  </si>
  <si>
    <t>Asia-Pacific</t>
  </si>
  <si>
    <t>Upper middle</t>
  </si>
  <si>
    <t>Closed autocracy</t>
  </si>
  <si>
    <t>United Kingdom</t>
  </si>
  <si>
    <t>Europe</t>
  </si>
  <si>
    <t>Traditional champions</t>
  </si>
  <si>
    <t>Canada</t>
  </si>
  <si>
    <t>Israel</t>
  </si>
  <si>
    <t>Middle East</t>
  </si>
  <si>
    <t>Rising stars</t>
  </si>
  <si>
    <t>Singapore</t>
  </si>
  <si>
    <t>Electoral democracy</t>
  </si>
  <si>
    <t>South Korea</t>
  </si>
  <si>
    <t>The Netherlands</t>
  </si>
  <si>
    <t>Germany</t>
  </si>
  <si>
    <t>France</t>
  </si>
  <si>
    <t>Australia</t>
  </si>
  <si>
    <t>Ireland</t>
  </si>
  <si>
    <t>Finland</t>
  </si>
  <si>
    <t>Denmark</t>
  </si>
  <si>
    <t>Luxembourg</t>
  </si>
  <si>
    <t>Waking up</t>
  </si>
  <si>
    <t>Japan</t>
  </si>
  <si>
    <t>India</t>
  </si>
  <si>
    <t>Lower middle</t>
  </si>
  <si>
    <t>Electoral autocracy</t>
  </si>
  <si>
    <t>Switzerland</t>
  </si>
  <si>
    <t>Sweden</t>
  </si>
  <si>
    <t>Hong Kong</t>
  </si>
  <si>
    <t>Spain</t>
  </si>
  <si>
    <t>Austria</t>
  </si>
  <si>
    <t>Estonia</t>
  </si>
  <si>
    <t>Taiwan</t>
  </si>
  <si>
    <t>Norway</t>
  </si>
  <si>
    <t>Saudi Arabia</t>
  </si>
  <si>
    <t>Belgium</t>
  </si>
  <si>
    <t>Poland</t>
  </si>
  <si>
    <t>Slovenia</t>
  </si>
  <si>
    <t>New Zealand</t>
  </si>
  <si>
    <t>Italy</t>
  </si>
  <si>
    <t>Russia</t>
  </si>
  <si>
    <t>Malta</t>
  </si>
  <si>
    <t>United Arab Emirates</t>
  </si>
  <si>
    <t>Portugal</t>
  </si>
  <si>
    <t>Czech Republic</t>
  </si>
  <si>
    <t>Iceland</t>
  </si>
  <si>
    <t>Lithuania</t>
  </si>
  <si>
    <t>Brazil</t>
  </si>
  <si>
    <t>Greece</t>
  </si>
  <si>
    <t>Slovakia</t>
  </si>
  <si>
    <t>Hungary</t>
  </si>
  <si>
    <t>Malaysia</t>
  </si>
  <si>
    <t>Mexico</t>
  </si>
  <si>
    <t>Chile</t>
  </si>
  <si>
    <t>Argentina</t>
  </si>
  <si>
    <t>Qatar</t>
  </si>
  <si>
    <t>Turkey</t>
  </si>
  <si>
    <t>Colombia</t>
  </si>
  <si>
    <t>Uruguay</t>
  </si>
  <si>
    <t>Bahrain</t>
  </si>
  <si>
    <t>Vietnam</t>
  </si>
  <si>
    <t>Indonesia</t>
  </si>
  <si>
    <t>Tunisia</t>
  </si>
  <si>
    <t>Africa</t>
  </si>
  <si>
    <t>South Africa</t>
  </si>
  <si>
    <t>Morocco</t>
  </si>
  <si>
    <t>Armenia</t>
  </si>
  <si>
    <t>Sri Lanka</t>
  </si>
  <si>
    <t>Nascent</t>
  </si>
  <si>
    <t>Egypt</t>
  </si>
  <si>
    <t>Kenya</t>
  </si>
  <si>
    <t>Nigeria</t>
  </si>
  <si>
    <t>Pakistan</t>
  </si>
  <si>
    <t>Row Labels</t>
  </si>
  <si>
    <t>Grand Total</t>
  </si>
  <si>
    <t>Sum of Talent</t>
  </si>
  <si>
    <t>Sum of Infrastructure</t>
  </si>
  <si>
    <t>Sum of Government Strategy</t>
  </si>
  <si>
    <t>Sum of Development</t>
  </si>
  <si>
    <t>Sum of Total score</t>
  </si>
  <si>
    <t>Sum of Operating Environment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</si>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</sst>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[AI_globaldashboard.xlsx]Sheet1!PivotTable1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Government Strategy Based On Country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c:f>
              <c:strCache>
                <c:ptCount val="1"/>
                <c:pt idx="0">
                  <c:v>Czech Republic</c:v>
                </c:pt>
              </c:strCache>
            </c:strRef>
          </c:cat>
          <c:val>
            <c:numRef>
              <c:f>Sheet1!$B$4:$B$5</c:f>
              <c:numCache>
                <c:formatCode>General</c:formatCode>
                <c:ptCount val="1"/>
                <c:pt idx="0">
                  <c:v>70.290000000000006</c:v>
                </c:pt>
              </c:numCache>
            </c:numRef>
          </c:val>
          <c:extLst>
            <c:ext xmlns:c16="http://schemas.microsoft.com/office/drawing/2014/chart" uri="{C3380CC4-5D6E-409C-BE32-E72D297353CC}">
              <c16:uniqueId val="{00000000-F4F8-4B96-9950-E6EA88FB99D0}"/>
            </c:ext>
          </c:extLst>
        </c:ser>
        <c:dLbls>
          <c:showLegendKey val="0"/>
          <c:showVal val="0"/>
          <c:showCatName val="0"/>
          <c:showSerName val="0"/>
          <c:showPercent val="0"/>
          <c:showBubbleSize val="0"/>
        </c:dLbls>
        <c:gapWidth val="150"/>
        <c:overlap val="100"/>
        <c:axId val="532969456"/>
        <c:axId val="532980016"/>
      </c:barChart>
      <c:catAx>
        <c:axId val="5329694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980016"/>
        <c:crosses val="autoZero"/>
        <c:auto val="1"/>
        <c:lblAlgn val="ctr"/>
        <c:lblOffset val="100"/>
        <c:noMultiLvlLbl val="0"/>
      </c:catAx>
      <c:valAx>
        <c:axId val="532980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296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[AI_globaldashboard.xlsx]Sheet3!PivotTable3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Cluster wise Infrastructure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dLbl>
          <c:idx val="0"/>
          <c:showLegendKey val="1"/>
          <c:showVal val="1"/>
          <c:showCatName val="1"/>
          <c:showSerName val="1"/>
          <c:showPercent val="1"/>
          <c:showBubbleSize val="1"/>
          <c:extLst>
            <c:ext xmlns:c15="http://schemas.microsoft.com/office/drawing/2012/chart" uri="{CE6537A1-D6FC-4f65-9D91-7224C49458BB}"/>
          </c:extLst>
        </c:dLbl>
      </c:pivotFmt>
      <c:pivotFmt>
        <c:idx val="11"/>
        <c:dLbl>
          <c:idx val="0"/>
          <c:showLegendKey val="1"/>
          <c:showVal val="1"/>
          <c:showCatName val="1"/>
          <c:showSerName val="1"/>
          <c:showPercent val="1"/>
          <c:showBubbleSize val="1"/>
          <c:extLst>
            <c:ext xmlns:c15="http://schemas.microsoft.com/office/drawing/2012/chart" uri="{CE6537A1-D6FC-4f65-9D91-7224C49458BB}"/>
          </c:extLst>
        </c:dLbl>
      </c:pivotFmt>
      <c:pivotFmt>
        <c:idx val="12"/>
        <c:dLbl>
          <c:idx val="0"/>
          <c:showLegendKey val="1"/>
          <c:showVal val="1"/>
          <c:showCatName val="1"/>
          <c:showSerName val="1"/>
          <c:showPercent val="1"/>
          <c:showBubbleSize val="1"/>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45347054390473E-2"/>
          <c:y val="0.41709218165911077"/>
          <c:w val="0.72706634442971851"/>
          <c:h val="0.25530104191521513"/>
        </c:manualLayout>
      </c:layout>
      <c:lineChart>
        <c:grouping val="standard"/>
        <c:varyColors val="0"/>
        <c:ser>
          <c:idx val="0"/>
          <c:order val="0"/>
          <c:tx>
            <c:strRef>
              <c:f>Sheet3!$B$1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Sheet3!$A$2:$A$8</c:f>
              <c:strCache>
                <c:ptCount val="6"/>
                <c:pt idx="0">
                  <c:v>Nascent</c:v>
                </c:pt>
                <c:pt idx="1">
                  <c:v>Power players</c:v>
                </c:pt>
                <c:pt idx="2">
                  <c:v>Rising stars</c:v>
                </c:pt>
                <c:pt idx="3">
                  <c:v>Traditional champions</c:v>
                </c:pt>
                <c:pt idx="4">
                  <c:v>Waking up</c:v>
                </c:pt>
                <c:pt idx="5">
                  <c:v>(blank)</c:v>
                </c:pt>
              </c:strCache>
            </c:strRef>
          </c:cat>
          <c:val>
            <c:numRef>
              <c:f>Sheet3!$B$2:$B$8</c:f>
              <c:numCache>
                <c:formatCode>General</c:formatCode>
                <c:ptCount val="6"/>
                <c:pt idx="0">
                  <c:v>90.02000000000001</c:v>
                </c:pt>
                <c:pt idx="1">
                  <c:v>194.01999999999998</c:v>
                </c:pt>
                <c:pt idx="2">
                  <c:v>854.04</c:v>
                </c:pt>
                <c:pt idx="3">
                  <c:v>302.85000000000002</c:v>
                </c:pt>
                <c:pt idx="4">
                  <c:v>2496.3000000000006</c:v>
                </c:pt>
              </c:numCache>
            </c:numRef>
          </c:val>
          <c:smooth val="0"/>
          <c:extLst>
            <c:ext xmlns:c16="http://schemas.microsoft.com/office/drawing/2014/chart" uri="{C3380CC4-5D6E-409C-BE32-E72D297353CC}">
              <c16:uniqueId val="{00000000-7A50-4D64-AFB6-00D01638D391}"/>
            </c:ext>
          </c:extLst>
        </c:ser>
        <c:dLbls>
          <c:dLblPos val="ctr"/>
          <c:showLegendKey val="0"/>
          <c:showVal val="1"/>
          <c:showCatName val="0"/>
          <c:showSerName val="0"/>
          <c:showPercent val="0"/>
          <c:showBubbleSize val="0"/>
        </c:dLbls>
        <c:marker val="1"/>
        <c:smooth val="0"/>
        <c:axId val="532969936"/>
        <c:axId val="532973776"/>
      </c:lineChart>
      <c:catAx>
        <c:axId val="5329699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2973776"/>
        <c:crosses val="autoZero"/>
        <c:auto val="1"/>
        <c:lblAlgn val="ctr"/>
        <c:lblOffset val="100"/>
        <c:noMultiLvlLbl val="0"/>
      </c:catAx>
      <c:valAx>
        <c:axId val="5329737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29699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[AI_globaldashboard.xlsx]Sheet5!PivotTable5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Region Wise Development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Sheet5!$A$2:$A$8</c:f>
              <c:strCache>
                <c:ptCount val="6"/>
                <c:pt idx="0">
                  <c:v>Africa</c:v>
                </c:pt>
                <c:pt idx="1">
                  <c:v>Americas</c:v>
                </c:pt>
                <c:pt idx="2">
                  <c:v>Asia-Pacific</c:v>
                </c:pt>
                <c:pt idx="3">
                  <c:v>Europe</c:v>
                </c:pt>
                <c:pt idx="4">
                  <c:v>Middle East</c:v>
                </c:pt>
                <c:pt idx="5">
                  <c:v>(blank)</c:v>
                </c:pt>
              </c:strCache>
            </c:strRef>
          </c:cat>
          <c:val>
            <c:numRef>
              <c:f>Sheet5!$B$2:$B$8</c:f>
              <c:numCache>
                <c:formatCode>General</c:formatCode>
                <c:ptCount val="6"/>
                <c:pt idx="0">
                  <c:v>21.779999999999998</c:v>
                </c:pt>
                <c:pt idx="1">
                  <c:v>140.31999999999996</c:v>
                </c:pt>
                <c:pt idx="2">
                  <c:v>327.56999999999994</c:v>
                </c:pt>
                <c:pt idx="3">
                  <c:v>370.04999999999995</c:v>
                </c:pt>
                <c:pt idx="4">
                  <c:v>59.410000000000004</c:v>
                </c:pt>
              </c:numCache>
            </c:numRef>
          </c:val>
          <c:extLst>
            <c:ext xmlns:c16="http://schemas.microsoft.com/office/drawing/2014/chart" uri="{C3380CC4-5D6E-409C-BE32-E72D297353CC}">
              <c16:uniqueId val="{00000000-14FE-4499-917C-77AFBE0EBA5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3014576"/>
        <c:axId val="533015056"/>
      </c:areaChart>
      <c:catAx>
        <c:axId val="5330145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3015056"/>
        <c:crosses val="autoZero"/>
        <c:auto val="1"/>
        <c:lblAlgn val="ctr"/>
        <c:lblOffset val="100"/>
        <c:noMultiLvlLbl val="0"/>
      </c:catAx>
      <c:valAx>
        <c:axId val="533015056"/>
        <c:scaling>
          <c:orientation val="minMax"/>
        </c:scaling>
        <c:delete val="1"/>
        <c:axPos val="l"/>
        <c:numFmt formatCode="General" sourceLinked="1"/>
        <c:majorTickMark val="out"/>
        <c:minorTickMark val="none"/>
        <c:tickLblPos val="nextTo"/>
        <c:crossAx val="533014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[AI_globaldashboard.xlsx]Sheet6!PivotTable6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Score Based On Income Group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Sheet6!$B$1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56-4556-8199-74C4B8F91B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56-4556-8199-74C4B8F91B4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56-4556-8199-74C4B8F91B4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56-4556-8199-74C4B8F91B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Sheet6!$A$2:$A$6</c:f>
              <c:strCache>
                <c:ptCount val="4"/>
                <c:pt idx="0">
                  <c:v>High</c:v>
                </c:pt>
                <c:pt idx="1">
                  <c:v>Lower middle</c:v>
                </c:pt>
                <c:pt idx="2">
                  <c:v>Upper middle</c:v>
                </c:pt>
                <c:pt idx="3">
                  <c:v>(blank)</c:v>
                </c:pt>
              </c:strCache>
            </c:strRef>
          </c:cat>
          <c:val>
            <c:numRef>
              <c:f>Sheet6!$B$2:$B$6</c:f>
              <c:numCache>
                <c:formatCode>General</c:formatCode>
                <c:ptCount val="4"/>
                <c:pt idx="0">
                  <c:v>1212.1600000000001</c:v>
                </c:pt>
                <c:pt idx="1">
                  <c:v>87.32</c:v>
                </c:pt>
                <c:pt idx="2">
                  <c:v>183.23000000000002</c:v>
                </c:pt>
              </c:numCache>
            </c:numRef>
          </c:val>
          <c:extLst>
            <c:ext xmlns:c16="http://schemas.microsoft.com/office/drawing/2014/chart" uri="{C3380CC4-5D6E-409C-BE32-E72D297353CC}">
              <c16:uniqueId val="{00000000-6FA2-47A2-9A35-4C69B09269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[AI_globaldashboard.xlsx]Sheet2!PivotTable1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Sheet2!$A$3</c:f>
              <c:strCache>
                <c:ptCount val="1"/>
                <c:pt idx="0">
                  <c:v>Sum of Talent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c:f>
              <c:strCache>
                <c:ptCount val="1"/>
                <c:pt idx="0">
                  <c:v>Total</c:v>
                </c:pt>
              </c:strCache>
            </c:strRef>
          </c:cat>
          <c:val>
            <c:numRef>
              <c:f>Sheet2!$A$4</c:f>
              <c:numCache>
                <c:formatCode>General</c:formatCode>
                <c:ptCount val="1"/>
                <c:pt idx="0">
                  <c:v>1041.7900000000002</c:v>
                </c:pt>
              </c:numCache>
            </c:numRef>
          </c:val>
          <c:extLst>
            <c:ext xmlns:c16="http://schemas.microsoft.com/office/drawing/2014/chart" uri="{C3380CC4-5D6E-409C-BE32-E72D297353CC}">
              <c16:uniqueId val="{00000000-F8F8-4606-9141-78C9FF5E2CE8}"/>
            </c:ext>
          </c:extLst>
        </c:ser>
        <c:ser>
          <c:idx val="1"/>
          <c:order val="1"/>
          <c:tx>
            <c:strRef>
              <c:f>Sheet2!$B$3</c:f>
              <c:strCache>
                <c:ptCount val="1"/>
                <c:pt idx="0">
                  <c:v>Sum of Operating Environment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Sheet2!$A$4</c:f>
              <c:strCache>
                <c:ptCount val="1"/>
                <c:pt idx="0">
                  <c:v>Total</c:v>
                </c:pt>
              </c:strCache>
            </c:strRef>
          </c:cat>
          <c:val>
            <c:numRef>
              <c:f>Sheet2!$B$4</c:f>
              <c:numCache>
                <c:formatCode>General</c:formatCode>
                <c:ptCount val="1"/>
                <c:pt idx="0">
                  <c:v>4149.38</c:v>
                </c:pt>
              </c:numCache>
            </c:numRef>
          </c:val>
          <c:extLst>
            <c:ext xmlns:c16="http://schemas.microsoft.com/office/drawing/2014/chart" uri="{C3380CC4-5D6E-409C-BE32-E72D297353CC}">
              <c16:uniqueId val="{00000001-F8F8-4606-9141-78C9FF5E2CE8}"/>
            </c:ext>
          </c:extLst>
        </c:ser>
        <c:dLbls>
          <c:showLegendKey val="0"/>
          <c:showVal val="0"/>
          <c:showCatName val="0"/>
          <c:showSerName val="0"/>
          <c:showPercent val="0"/>
          <c:showBubbleSize val="0"/>
        </c:dLbls>
        <c:gapWidth val="315"/>
        <c:overlap val="-40"/>
        <c:axId val="978972079"/>
        <c:axId val="978974479"/>
      </c:barChart>
      <c:catAx>
        <c:axId val="9789720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8974479"/>
        <c:crosses val="autoZero"/>
        <c:auto val="1"/>
        <c:lblAlgn val="ctr"/>
        <c:lblOffset val="100"/>
        <c:noMultiLvlLbl val="0"/>
      </c:catAx>
      <c:valAx>
        <c:axId val="9789744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897207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99059</xdr:colOff>
      <xdr:row>0</xdr:row>
      <xdr:rowOff>0</xdr:rowOff>
    </xdr:from>
    <xdr:to>
      <xdr:col>24</xdr:col>
      <xdr:colOff>449579</xdr:colOff>
      <xdr:row>40</xdr:row>
      <xdr:rowOff>105462</xdr:rowOff>
    </xdr:to>
    <xdr:pic>
      <xdr:nvPicPr>
        <xdr:cNvPr id="3" name="Picture 2">
          <a:extLst>
            <a:ext uri="{FF2B5EF4-FFF2-40B4-BE49-F238E27FC236}">
              <a16:creationId xmlns:a16="http://schemas.microsoft.com/office/drawing/2014/main" id="{3C7DF2CD-458D-D05D-4F6F-C4CD7C5D50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9059" y="0"/>
          <a:ext cx="14980920" cy="7420662"/>
        </a:xfrm>
        <a:prstGeom prst="rect">
          <a:avLst/>
        </a:prstGeom>
      </xdr:spPr>
    </xdr:pic>
    <xdr:clientData/>
  </xdr:twoCellAnchor>
  <xdr:twoCellAnchor>
    <xdr:from>
      <xdr:col>0</xdr:col>
      <xdr:colOff>60960</xdr:colOff>
      <xdr:row>21</xdr:row>
      <xdr:rowOff>60960</xdr:rowOff>
    </xdr:from>
    <xdr:to>
      <xdr:col>8</xdr:col>
      <xdr:colOff>266700</xdr:colOff>
      <xdr:row>38</xdr:row>
      <xdr:rowOff>175260</xdr:rowOff>
    </xdr:to>
    <xdr:graphicFrame macro="">
      <xdr:nvGraphicFramePr>
        <xdr:cNvPr id="4" name="Chart 3">
          <a:extLst>
            <a:ext uri="{FF2B5EF4-FFF2-40B4-BE49-F238E27FC236}">
              <a16:creationId xmlns:a16="http://schemas.microsoft.com/office/drawing/2014/main" id="{ABFE71A9-6597-41CC-B8AB-E284BFD09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335280</xdr:colOff>
      <xdr:row>5</xdr:row>
      <xdr:rowOff>45720</xdr:rowOff>
    </xdr:from>
    <xdr:to>
      <xdr:col>15</xdr:col>
      <xdr:colOff>601980</xdr:colOff>
      <xdr:row>15</xdr:row>
      <xdr:rowOff>114300</xdr:rowOff>
    </xdr:to>
    <xdr:graphicFrame macro="">
      <xdr:nvGraphicFramePr>
        <xdr:cNvPr id="5" name="Chart 4">
          <a:extLst>
            <a:ext uri="{FF2B5EF4-FFF2-40B4-BE49-F238E27FC236}">
              <a16:creationId xmlns:a16="http://schemas.microsoft.com/office/drawing/2014/main" id="{D326FC79-9A4D-4EA2-93A9-E84EF00E5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5</xdr:row>
      <xdr:rowOff>45720</xdr:rowOff>
    </xdr:from>
    <xdr:to>
      <xdr:col>8</xdr:col>
      <xdr:colOff>259080</xdr:colOff>
      <xdr:row>20</xdr:row>
      <xdr:rowOff>106680</xdr:rowOff>
    </xdr:to>
    <xdr:graphicFrame macro="">
      <xdr:nvGraphicFramePr>
        <xdr:cNvPr id="7" name="Chart 6">
          <a:extLst>
            <a:ext uri="{FF2B5EF4-FFF2-40B4-BE49-F238E27FC236}">
              <a16:creationId xmlns:a16="http://schemas.microsoft.com/office/drawing/2014/main" id="{2D6A0047-BCB3-4023-9CEE-720E0C7F2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76200</xdr:colOff>
      <xdr:row>21</xdr:row>
      <xdr:rowOff>129540</xdr:rowOff>
    </xdr:from>
    <xdr:to>
      <xdr:col>22</xdr:col>
      <xdr:colOff>563880</xdr:colOff>
      <xdr:row>38</xdr:row>
      <xdr:rowOff>167640</xdr:rowOff>
    </xdr:to>
    <xdr:graphicFrame macro="">
      <xdr:nvGraphicFramePr>
        <xdr:cNvPr id="8" name="Chart 7">
          <a:extLst>
            <a:ext uri="{FF2B5EF4-FFF2-40B4-BE49-F238E27FC236}">
              <a16:creationId xmlns:a16="http://schemas.microsoft.com/office/drawing/2014/main" id="{4601F663-DEBD-477D-A35F-C55300932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68580</xdr:colOff>
      <xdr:row>5</xdr:row>
      <xdr:rowOff>45720</xdr:rowOff>
    </xdr:from>
    <xdr:to>
      <xdr:col>22</xdr:col>
      <xdr:colOff>601980</xdr:colOff>
      <xdr:row>20</xdr:row>
      <xdr:rowOff>175260</xdr:rowOff>
    </xdr:to>
    <xdr:graphicFrame macro="">
      <xdr:nvGraphicFramePr>
        <xdr:cNvPr id="2" name="Chart 1">
          <a:extLst>
            <a:ext uri="{FF2B5EF4-FFF2-40B4-BE49-F238E27FC236}">
              <a16:creationId xmlns:a16="http://schemas.microsoft.com/office/drawing/2014/main" id="{44A674F4-5595-4189-9FE4-75EAF64AB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160020</xdr:colOff>
      <xdr:row>0</xdr:row>
      <xdr:rowOff>0</xdr:rowOff>
    </xdr:from>
    <xdr:to>
      <xdr:col>17</xdr:col>
      <xdr:colOff>91440</xdr:colOff>
      <xdr:row>5</xdr:row>
      <xdr:rowOff>0</xdr:rowOff>
    </xdr:to>
    <xdr:sp macro="" textlink="">
      <xdr:nvSpPr>
        <xdr:cNvPr id="9" name="TextBox 8">
          <a:extLst>
            <a:ext uri="{FF2B5EF4-FFF2-40B4-BE49-F238E27FC236}">
              <a16:creationId xmlns:a16="http://schemas.microsoft.com/office/drawing/2014/main" id="{E89DC241-92AF-7025-D1B9-FA7D7525D1B3}"/>
            </a:ext>
          </a:extLst>
        </xdr:cNvPr>
        <xdr:cNvSpPr txBox="1"/>
      </xdr:nvSpPr>
      <xdr:spPr>
        <a:xfrm>
          <a:off x="3208020" y="0"/>
          <a:ext cx="724662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u="sng">
              <a:latin typeface="Bahnschrift SemiBold" panose="020B0502040204020203" pitchFamily="34" charset="0"/>
            </a:rPr>
            <a:t>AI - GLOBAL INDEX ANAYSIS REPORT</a:t>
          </a:r>
        </a:p>
      </xdr:txBody>
    </xdr:sp>
    <xdr:clientData/>
  </xdr:twoCellAnchor>
  <xdr:twoCellAnchor>
    <xdr:from>
      <xdr:col>10</xdr:col>
      <xdr:colOff>228600</xdr:colOff>
      <xdr:row>22</xdr:row>
      <xdr:rowOff>15240</xdr:rowOff>
    </xdr:from>
    <xdr:to>
      <xdr:col>13</xdr:col>
      <xdr:colOff>480060</xdr:colOff>
      <xdr:row>26</xdr:row>
      <xdr:rowOff>160020</xdr:rowOff>
    </xdr:to>
    <xdr:sp macro="" textlink="">
      <xdr:nvSpPr>
        <xdr:cNvPr id="6" name="Rectangle 5">
          <a:extLst>
            <a:ext uri="{FF2B5EF4-FFF2-40B4-BE49-F238E27FC236}">
              <a16:creationId xmlns:a16="http://schemas.microsoft.com/office/drawing/2014/main" id="{FE6CAD03-2DC2-F7A0-BA4D-15764D531377}"/>
            </a:ext>
          </a:extLst>
        </xdr:cNvPr>
        <xdr:cNvSpPr/>
      </xdr:nvSpPr>
      <xdr:spPr>
        <a:xfrm>
          <a:off x="6324600" y="4038600"/>
          <a:ext cx="2080260" cy="876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chemeClr val="lt1"/>
              </a:solidFill>
              <a:effectLst/>
              <a:latin typeface="+mn-lt"/>
              <a:ea typeface="+mn-ea"/>
              <a:cs typeface="+mn-cs"/>
            </a:rPr>
            <a:t>Total</a:t>
          </a:r>
          <a:r>
            <a:rPr lang="en-IN" sz="1400" b="1" i="0" u="none" strike="noStrike" baseline="0">
              <a:solidFill>
                <a:schemeClr val="lt1"/>
              </a:solidFill>
              <a:effectLst/>
              <a:latin typeface="+mn-lt"/>
              <a:ea typeface="+mn-ea"/>
              <a:cs typeface="+mn-cs"/>
            </a:rPr>
            <a:t>  Operating         Environment</a:t>
          </a:r>
        </a:p>
        <a:p>
          <a:pPr algn="l"/>
          <a:r>
            <a:rPr lang="en-IN" sz="1400" b="0" i="0" u="none" strike="noStrike">
              <a:solidFill>
                <a:schemeClr val="lt1"/>
              </a:solidFill>
              <a:effectLst/>
              <a:latin typeface="+mn-lt"/>
              <a:ea typeface="+mn-ea"/>
              <a:cs typeface="+mn-cs"/>
            </a:rPr>
            <a:t>               4149.38</a:t>
          </a:r>
          <a:r>
            <a:rPr lang="en-IN" sz="1400" b="1">
              <a:effectLst/>
            </a:rPr>
            <a:t>  </a:t>
          </a:r>
          <a:endParaRPr lang="en-IN" sz="1400" b="1"/>
        </a:p>
      </xdr:txBody>
    </xdr:sp>
    <xdr:clientData/>
  </xdr:twoCellAnchor>
  <xdr:twoCellAnchor>
    <xdr:from>
      <xdr:col>9</xdr:col>
      <xdr:colOff>15240</xdr:colOff>
      <xdr:row>16</xdr:row>
      <xdr:rowOff>22860</xdr:rowOff>
    </xdr:from>
    <xdr:to>
      <xdr:col>12</xdr:col>
      <xdr:colOff>114300</xdr:colOff>
      <xdr:row>21</xdr:row>
      <xdr:rowOff>91440</xdr:rowOff>
    </xdr:to>
    <xdr:sp macro="" textlink="">
      <xdr:nvSpPr>
        <xdr:cNvPr id="10" name="Rectangle 9">
          <a:extLst>
            <a:ext uri="{FF2B5EF4-FFF2-40B4-BE49-F238E27FC236}">
              <a16:creationId xmlns:a16="http://schemas.microsoft.com/office/drawing/2014/main" id="{30602A11-95D9-9E54-7220-BF8214D63DFF}"/>
            </a:ext>
          </a:extLst>
        </xdr:cNvPr>
        <xdr:cNvSpPr/>
      </xdr:nvSpPr>
      <xdr:spPr>
        <a:xfrm>
          <a:off x="5501640" y="2948940"/>
          <a:ext cx="1927860" cy="982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a:t>
          </a:r>
          <a:r>
            <a:rPr lang="en-IN" sz="1400" b="1" baseline="0"/>
            <a:t> Government Strategy</a:t>
          </a:r>
        </a:p>
        <a:p>
          <a:pPr algn="ctr"/>
          <a:endParaRPr lang="en-IN" sz="1200" b="1" i="0" u="none" strike="noStrike" baseline="0">
            <a:solidFill>
              <a:schemeClr val="lt1"/>
            </a:solidFill>
            <a:effectLst/>
            <a:latin typeface="+mn-lt"/>
            <a:ea typeface="+mn-ea"/>
            <a:cs typeface="+mn-cs"/>
          </a:endParaRPr>
        </a:p>
        <a:p>
          <a:pPr algn="ctr"/>
          <a:r>
            <a:rPr lang="en-IN" sz="1600" b="0" i="0" u="none" strike="noStrike">
              <a:solidFill>
                <a:schemeClr val="lt1"/>
              </a:solidFill>
              <a:effectLst/>
              <a:latin typeface="+mn-lt"/>
              <a:ea typeface="+mn-ea"/>
              <a:cs typeface="+mn-cs"/>
            </a:rPr>
            <a:t>3587.67</a:t>
          </a:r>
          <a:r>
            <a:rPr lang="en-IN" sz="1600">
              <a:effectLst/>
            </a:rPr>
            <a:t> </a:t>
          </a:r>
          <a:endParaRPr lang="en-IN" sz="1600"/>
        </a:p>
      </xdr:txBody>
    </xdr:sp>
    <xdr:clientData/>
  </xdr:twoCellAnchor>
  <xdr:twoCellAnchor>
    <xdr:from>
      <xdr:col>12</xdr:col>
      <xdr:colOff>434340</xdr:colOff>
      <xdr:row>16</xdr:row>
      <xdr:rowOff>22860</xdr:rowOff>
    </xdr:from>
    <xdr:to>
      <xdr:col>15</xdr:col>
      <xdr:colOff>434340</xdr:colOff>
      <xdr:row>21</xdr:row>
      <xdr:rowOff>83820</xdr:rowOff>
    </xdr:to>
    <xdr:sp macro="" textlink="">
      <xdr:nvSpPr>
        <xdr:cNvPr id="11" name="Rectangle 10">
          <a:extLst>
            <a:ext uri="{FF2B5EF4-FFF2-40B4-BE49-F238E27FC236}">
              <a16:creationId xmlns:a16="http://schemas.microsoft.com/office/drawing/2014/main" id="{D8D97E9E-4D63-A67F-F5AA-DC1996175226}"/>
            </a:ext>
          </a:extLst>
        </xdr:cNvPr>
        <xdr:cNvSpPr/>
      </xdr:nvSpPr>
      <xdr:spPr>
        <a:xfrm>
          <a:off x="7749540" y="2948940"/>
          <a:ext cx="1828800" cy="975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a:t>
          </a:r>
          <a:r>
            <a:rPr lang="en-IN" sz="1400" b="1"/>
            <a:t>Total Research</a:t>
          </a:r>
          <a:endParaRPr lang="en-IN" sz="1400" b="1" baseline="0"/>
        </a:p>
        <a:p>
          <a:pPr algn="l"/>
          <a:r>
            <a:rPr lang="en-IN" sz="1400" b="1" baseline="0"/>
            <a:t>                Rate</a:t>
          </a:r>
        </a:p>
        <a:p>
          <a:pPr algn="l"/>
          <a:endParaRPr lang="en-IN" sz="1200" b="1" baseline="0"/>
        </a:p>
        <a:p>
          <a:pPr algn="ctr"/>
          <a:r>
            <a:rPr lang="en-IN" sz="1600" b="0" i="0" u="none" strike="noStrike">
              <a:solidFill>
                <a:schemeClr val="lt1"/>
              </a:solidFill>
              <a:effectLst/>
              <a:latin typeface="+mn-lt"/>
              <a:ea typeface="+mn-ea"/>
              <a:cs typeface="+mn-cs"/>
            </a:rPr>
            <a:t>1029.82</a:t>
          </a:r>
          <a:r>
            <a:rPr lang="en-IN" sz="1600">
              <a:effectLst/>
            </a:rPr>
            <a:t> </a:t>
          </a:r>
          <a:endParaRPr lang="en-IN" sz="1600" b="1"/>
        </a:p>
      </xdr:txBody>
    </xdr:sp>
    <xdr:clientData/>
  </xdr:twoCellAnchor>
  <xdr:twoCellAnchor editAs="oneCell">
    <xdr:from>
      <xdr:col>12</xdr:col>
      <xdr:colOff>350520</xdr:colOff>
      <xdr:row>28</xdr:row>
      <xdr:rowOff>137160</xdr:rowOff>
    </xdr:from>
    <xdr:to>
      <xdr:col>15</xdr:col>
      <xdr:colOff>243840</xdr:colOff>
      <xdr:row>39</xdr:row>
      <xdr:rowOff>53340</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C79AEC0A-60FE-D435-AB26-7B90396F29E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665720" y="5257800"/>
              <a:ext cx="172212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76200</xdr:colOff>
      <xdr:row>28</xdr:row>
      <xdr:rowOff>129540</xdr:rowOff>
    </xdr:from>
    <xdr:to>
      <xdr:col>11</xdr:col>
      <xdr:colOff>594360</xdr:colOff>
      <xdr:row>39</xdr:row>
      <xdr:rowOff>53340</xdr:rowOff>
    </xdr:to>
    <mc:AlternateContent xmlns:mc="http://schemas.openxmlformats.org/markup-compatibility/2006" xmlns:a14="http://schemas.microsoft.com/office/drawing/2010/main">
      <mc:Choice Requires="a14">
        <xdr:graphicFrame macro="">
          <xdr:nvGraphicFramePr>
            <xdr:cNvPr id="15" name="Commercial">
              <a:extLst>
                <a:ext uri="{FF2B5EF4-FFF2-40B4-BE49-F238E27FC236}">
                  <a16:creationId xmlns:a16="http://schemas.microsoft.com/office/drawing/2014/main" id="{89846175-EA73-92E6-E2E7-469EC067CA70}"/>
                </a:ext>
              </a:extLst>
            </xdr:cNvPr>
            <xdr:cNvGraphicFramePr/>
          </xdr:nvGraphicFramePr>
          <xdr:xfrm>
            <a:off x="0" y="0"/>
            <a:ext cx="0" cy="0"/>
          </xdr:xfrm>
          <a:graphic>
            <a:graphicData uri="http://schemas.microsoft.com/office/drawing/2010/slicer">
              <sle:slicer xmlns:sle="http://schemas.microsoft.com/office/drawing/2010/slicer" name="Commercial"/>
            </a:graphicData>
          </a:graphic>
        </xdr:graphicFrame>
      </mc:Choice>
      <mc:Fallback xmlns="">
        <xdr:sp macro="" textlink="">
          <xdr:nvSpPr>
            <xdr:cNvPr id="0" name=""/>
            <xdr:cNvSpPr>
              <a:spLocks noTextEdit="1"/>
            </xdr:cNvSpPr>
          </xdr:nvSpPr>
          <xdr:spPr>
            <a:xfrm>
              <a:off x="5562600" y="5250180"/>
              <a:ext cx="173736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rna K P" refreshedDate="45971.974145138891" createdVersion="8" refreshedVersion="8" minRefreshableVersion="3" recordCount="62" xr:uid="{ED686BB0-0429-47AF-87D9-DC7D01045AC2}">
  <cacheSource type="worksheet">
    <worksheetSource ref="A1:M63" sheet="AI_index_db"/>
  </cacheSource>
  <cacheFields count="13">
    <cacheField name="Country" numFmtId="0">
      <sharedItems count="62">
        <s v="United States of America"/>
        <s v="China"/>
        <s v="United Kingdom"/>
        <s v="Canada"/>
        <s v="Israel"/>
        <s v="Singapore"/>
        <s v="South Korea"/>
        <s v="The Netherlands"/>
        <s v="Germany"/>
        <s v="France"/>
        <s v="Australia"/>
        <s v="Ireland"/>
        <s v="Finland"/>
        <s v="Denmark"/>
        <s v="Luxembourg"/>
        <s v="Japan"/>
        <s v="India"/>
        <s v="Switzerland"/>
        <s v="Sweden"/>
        <s v="Hong Kong"/>
        <s v="Spain"/>
        <s v="Austria"/>
        <s v="Estonia"/>
        <s v="Taiwan"/>
        <s v="Norway"/>
        <s v="Saudi Arabia"/>
        <s v="Belgium"/>
        <s v="Poland"/>
        <s v="Slovenia"/>
        <s v="New Zealand"/>
        <s v="Italy"/>
        <s v="Russia"/>
        <s v="Malta"/>
        <s v="United Arab Emirates"/>
        <s v="Portugal"/>
        <s v="Czech Republic"/>
        <s v="Iceland"/>
        <s v="Lithuania"/>
        <s v="Brazil"/>
        <s v="Greece"/>
        <s v="Slovakia"/>
        <s v="Hungary"/>
        <s v="Malaysia"/>
        <s v="Mexico"/>
        <s v="Chile"/>
        <s v="Argentina"/>
        <s v="Qatar"/>
        <s v="Turkey"/>
        <s v="Colombia"/>
        <s v="Uruguay"/>
        <s v="Bahrain"/>
        <s v="Vietnam"/>
        <s v="Indonesia"/>
        <s v="Tunisia"/>
        <s v="South Africa"/>
        <s v="Morocco"/>
        <s v="Armenia"/>
        <s v="Sri Lanka"/>
        <s v="Egypt"/>
        <s v="Kenya"/>
        <s v="Nigeria"/>
        <s v="Pakistan"/>
      </sharedItems>
    </cacheField>
    <cacheField name="Talent" numFmtId="0">
      <sharedItems containsSemiMixedTypes="0" containsString="0" containsNumber="1" minValue="0" maxValue="100" count="62">
        <n v="100"/>
        <n v="16.510000000000002"/>
        <n v="39.65"/>
        <n v="31.28"/>
        <n v="35.76"/>
        <n v="39.380000000000003"/>
        <n v="14.54"/>
        <n v="33.83"/>
        <n v="27.63"/>
        <n v="28.32"/>
        <n v="25.43"/>
        <n v="29.93"/>
        <n v="24.99"/>
        <n v="27.07"/>
        <n v="21.66"/>
        <n v="15.18"/>
        <n v="45.27"/>
        <n v="25.63"/>
        <n v="28.21"/>
        <n v="17.559999999999999"/>
        <n v="17.61"/>
        <n v="16.97"/>
        <n v="18.739999999999998"/>
        <n v="12.34"/>
        <n v="27.61"/>
        <n v="4.49"/>
        <n v="15.17"/>
        <n v="14.21"/>
        <n v="13.02"/>
        <n v="23.3"/>
        <n v="11.09"/>
        <n v="12.46"/>
        <n v="15.87"/>
        <n v="2.65"/>
        <n v="13.43"/>
        <n v="11.11"/>
        <n v="18.45"/>
        <n v="14.3"/>
        <n v="13.46"/>
        <n v="7.62"/>
        <n v="8.5500000000000007"/>
        <n v="10.34"/>
        <n v="10.44"/>
        <n v="1.72"/>
        <n v="10.56"/>
        <n v="8.4"/>
        <n v="0"/>
        <n v="8.49"/>
        <n v="4.97"/>
        <n v="7.28"/>
        <n v="4.99"/>
        <n v="6.34"/>
        <n v="5.51"/>
        <n v="8.94"/>
        <n v="4.6100000000000003"/>
        <n v="3.36"/>
        <n v="6.69"/>
        <n v="6.27"/>
        <n v="1.1100000000000001"/>
        <n v="0.75"/>
        <n v="2.74"/>
        <n v="8"/>
      </sharedItems>
    </cacheField>
    <cacheField name="Infrastructure" numFmtId="0">
      <sharedItems containsSemiMixedTypes="0" containsString="0" containsNumber="1" minValue="0" maxValue="100"/>
    </cacheField>
    <cacheField name="Operating Environment" numFmtId="0">
      <sharedItems containsSemiMixedTypes="0" containsString="0" containsNumber="1" minValue="0" maxValue="100"/>
    </cacheField>
    <cacheField name="Research" numFmtId="0">
      <sharedItems containsSemiMixedTypes="0" containsString="0" containsNumber="1" minValue="0" maxValue="100"/>
    </cacheField>
    <cacheField name="Development" numFmtId="0">
      <sharedItems containsSemiMixedTypes="0" containsString="0" containsNumber="1" minValue="0" maxValue="100"/>
    </cacheField>
    <cacheField name="Government Strategy" numFmtId="0">
      <sharedItems containsSemiMixedTypes="0" containsString="0" containsNumber="1" minValue="0" maxValue="100"/>
    </cacheField>
    <cacheField name="Commercial" numFmtId="0">
      <sharedItems containsSemiMixedTypes="0" containsString="0" containsNumber="1" minValue="0" maxValue="100"/>
    </cacheField>
    <cacheField name="Total score" numFmtId="0">
      <sharedItems containsSemiMixedTypes="0" containsString="0" containsNumber="1" minValue="0" maxValue="100"/>
    </cacheField>
    <cacheField name="Region" numFmtId="0">
      <sharedItems/>
    </cacheField>
    <cacheField name="Cluster" numFmtId="0">
      <sharedItems/>
    </cacheField>
    <cacheField name="Income group" numFmtId="0">
      <sharedItems/>
    </cacheField>
    <cacheField name="Political regime" numFmtId="0">
      <sharedItems count="4">
        <s v="Liberal democracy"/>
        <s v="Closed autocracy"/>
        <s v="Electoral democracy"/>
        <s v="Electoral autocracy"/>
      </sharedItems>
    </cacheField>
  </cacheFields>
  <extLst>
    <ext xmlns:x14="http://schemas.microsoft.com/office/spreadsheetml/2009/9/main" uri="{725AE2AE-9491-48be-B2B4-4EB974FC3084}">
      <x14:pivotCacheDefinition pivotCacheId="3015666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rna K P" refreshedDate="45971.988411342594" createdVersion="8" refreshedVersion="8" minRefreshableVersion="3" recordCount="63" xr:uid="{A5415FA4-A8AA-4F08-8D77-56197B339E66}">
  <cacheSource type="worksheet">
    <worksheetSource ref="A1:M1048576" sheet="AI_index_db"/>
  </cacheSource>
  <cacheFields count="13">
    <cacheField name="Country" numFmtId="0">
      <sharedItems containsBlank="1" count="63">
        <s v="United States of America"/>
        <s v="China"/>
        <s v="United Kingdom"/>
        <s v="Canada"/>
        <s v="Israel"/>
        <s v="Singapore"/>
        <s v="South Korea"/>
        <s v="The Netherlands"/>
        <s v="Germany"/>
        <s v="France"/>
        <s v="Australia"/>
        <s v="Ireland"/>
        <s v="Finland"/>
        <s v="Denmark"/>
        <s v="Luxembourg"/>
        <s v="Japan"/>
        <s v="India"/>
        <s v="Switzerland"/>
        <s v="Sweden"/>
        <s v="Hong Kong"/>
        <s v="Spain"/>
        <s v="Austria"/>
        <s v="Estonia"/>
        <s v="Taiwan"/>
        <s v="Norway"/>
        <s v="Saudi Arabia"/>
        <s v="Belgium"/>
        <s v="Poland"/>
        <s v="Slovenia"/>
        <s v="New Zealand"/>
        <s v="Italy"/>
        <s v="Russia"/>
        <s v="Malta"/>
        <s v="United Arab Emirates"/>
        <s v="Portugal"/>
        <s v="Czech Republic"/>
        <s v="Iceland"/>
        <s v="Lithuania"/>
        <s v="Brazil"/>
        <s v="Greece"/>
        <s v="Slovakia"/>
        <s v="Hungary"/>
        <s v="Malaysia"/>
        <s v="Mexico"/>
        <s v="Chile"/>
        <s v="Argentina"/>
        <s v="Qatar"/>
        <s v="Turkey"/>
        <s v="Colombia"/>
        <s v="Uruguay"/>
        <s v="Bahrain"/>
        <s v="Vietnam"/>
        <s v="Indonesia"/>
        <s v="Tunisia"/>
        <s v="South Africa"/>
        <s v="Morocco"/>
        <s v="Armenia"/>
        <s v="Sri Lanka"/>
        <s v="Egypt"/>
        <s v="Kenya"/>
        <s v="Nigeria"/>
        <s v="Pakistan"/>
        <m/>
      </sharedItems>
    </cacheField>
    <cacheField name="Talent" numFmtId="0">
      <sharedItems containsString="0" containsBlank="1" containsNumber="1" minValue="0" maxValue="100"/>
    </cacheField>
    <cacheField name="Infrastructure" numFmtId="0">
      <sharedItems containsString="0" containsBlank="1" containsNumber="1" minValue="0" maxValue="100"/>
    </cacheField>
    <cacheField name="Operating Environment" numFmtId="0">
      <sharedItems containsString="0" containsBlank="1" containsNumber="1" minValue="0" maxValue="100"/>
    </cacheField>
    <cacheField name="Research" numFmtId="0">
      <sharedItems containsString="0" containsBlank="1" containsNumber="1" minValue="0" maxValue="100"/>
    </cacheField>
    <cacheField name="Development" numFmtId="0">
      <sharedItems containsString="0" containsBlank="1" containsNumber="1" minValue="0" maxValue="100"/>
    </cacheField>
    <cacheField name="Government Strategy" numFmtId="0">
      <sharedItems containsString="0" containsBlank="1" containsNumber="1" minValue="0" maxValue="100"/>
    </cacheField>
    <cacheField name="Commercial" numFmtId="0">
      <sharedItems containsString="0" containsBlank="1" containsNumber="1" minValue="0" maxValue="100" count="60">
        <n v="100"/>
        <n v="44.02"/>
        <n v="18.91"/>
        <n v="14.88"/>
        <n v="27.33"/>
        <n v="15.07"/>
        <n v="5.41"/>
        <n v="4.97"/>
        <n v="8.2899999999999991"/>
        <n v="7.65"/>
        <n v="6.72"/>
        <n v="3.94"/>
        <n v="4.6399999999999997"/>
        <n v="3.46"/>
        <n v="4.68"/>
        <n v="7.31"/>
        <n v="7.39"/>
        <n v="7.76"/>
        <n v="4.51"/>
        <n v="5.3"/>
        <n v="3.08"/>
        <n v="12.51"/>
        <n v="2.5299999999999998"/>
        <n v="3.95"/>
        <n v="4.7300000000000004"/>
        <n v="5.31"/>
        <n v="2.25"/>
        <n v="0.61"/>
        <n v="2.4900000000000002"/>
        <n v="2.64"/>
        <n v="1.38"/>
        <n v="4.3"/>
        <n v="3.22"/>
        <n v="2.0499999999999998"/>
        <n v="1.75"/>
        <n v="5.74"/>
        <n v="1.77"/>
        <n v="1.36"/>
        <n v="0.92"/>
        <n v="0.67"/>
        <n v="1.08"/>
        <n v="0.63"/>
        <n v="0.78"/>
        <n v="2.95"/>
        <n v="0.34"/>
        <n v="0"/>
        <n v="0.95"/>
        <n v="0.5"/>
        <n v="0.43"/>
        <n v="0.24"/>
        <n v="0.31"/>
        <n v="0.91"/>
        <n v="0.15"/>
        <n v="2.0299999999999998"/>
        <n v="0.1"/>
        <n v="1.37"/>
        <n v="0.09"/>
        <n v="0.33"/>
        <n v="0.27"/>
        <m/>
      </sharedItems>
    </cacheField>
    <cacheField name="Total score" numFmtId="0">
      <sharedItems containsString="0" containsBlank="1" containsNumber="1" minValue="0" maxValue="100"/>
    </cacheField>
    <cacheField name="Region" numFmtId="0">
      <sharedItems containsBlank="1" count="6">
        <s v="Americas"/>
        <s v="Asia-Pacific"/>
        <s v="Europe"/>
        <s v="Middle East"/>
        <s v="Africa"/>
        <m/>
      </sharedItems>
    </cacheField>
    <cacheField name="Cluster" numFmtId="0">
      <sharedItems containsBlank="1" count="6">
        <s v="Power players"/>
        <s v="Traditional champions"/>
        <s v="Rising stars"/>
        <s v="Waking up"/>
        <s v="Nascent"/>
        <m/>
      </sharedItems>
    </cacheField>
    <cacheField name="Income group" numFmtId="0">
      <sharedItems containsBlank="1" count="4">
        <s v="High"/>
        <s v="Upper middle"/>
        <s v="Lower middle"/>
        <m/>
      </sharedItems>
    </cacheField>
    <cacheField name="Political regime" numFmtId="0">
      <sharedItems containsBlank="1" count="5">
        <s v="Liberal democracy"/>
        <s v="Closed autocracy"/>
        <s v="Electoral democracy"/>
        <s v="Electoral autocracy"/>
        <m/>
      </sharedItems>
    </cacheField>
  </cacheFields>
  <extLst>
    <ext xmlns:x14="http://schemas.microsoft.com/office/spreadsheetml/2009/9/main" uri="{725AE2AE-9491-48be-B2B4-4EB974FC3084}">
      <x14:pivotCacheDefinition pivotCacheId="656588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94.02"/>
    <n v="64.56"/>
    <n v="100"/>
    <n v="100"/>
    <n v="77.39"/>
    <n v="100"/>
    <n v="100"/>
    <s v="Americas"/>
    <s v="Power players"/>
    <s v="High"/>
    <x v="0"/>
  </r>
  <r>
    <x v="1"/>
    <x v="1"/>
    <n v="100"/>
    <n v="91.57"/>
    <n v="71.42"/>
    <n v="79.97"/>
    <n v="94.87"/>
    <n v="44.02"/>
    <n v="62.92"/>
    <s v="Asia-Pacific"/>
    <s v="Power players"/>
    <s v="Upper middle"/>
    <x v="1"/>
  </r>
  <r>
    <x v="2"/>
    <x v="2"/>
    <n v="71.430000000000007"/>
    <n v="74.650000000000006"/>
    <n v="36.5"/>
    <n v="25.03"/>
    <n v="82.82"/>
    <n v="18.91"/>
    <n v="40.93"/>
    <s v="Europe"/>
    <s v="Traditional champions"/>
    <s v="High"/>
    <x v="0"/>
  </r>
  <r>
    <x v="3"/>
    <x v="3"/>
    <n v="77.05"/>
    <n v="93.94"/>
    <n v="30.67"/>
    <n v="25.78"/>
    <n v="100"/>
    <n v="14.88"/>
    <n v="40.19"/>
    <s v="Americas"/>
    <s v="Traditional champions"/>
    <s v="High"/>
    <x v="0"/>
  </r>
  <r>
    <x v="4"/>
    <x v="4"/>
    <n v="67.58"/>
    <n v="82.44"/>
    <n v="32.630000000000003"/>
    <n v="27.96"/>
    <n v="43.91"/>
    <n v="27.33"/>
    <n v="39.89"/>
    <s v="Middle East"/>
    <s v="Rising stars"/>
    <s v="High"/>
    <x v="0"/>
  </r>
  <r>
    <x v="5"/>
    <x v="5"/>
    <n v="84.3"/>
    <n v="43.15"/>
    <n v="37.67"/>
    <n v="22.55"/>
    <n v="79.819999999999993"/>
    <n v="15.07"/>
    <n v="38.67"/>
    <s v="Asia-Pacific"/>
    <s v="Rising stars"/>
    <s v="High"/>
    <x v="2"/>
  </r>
  <r>
    <x v="6"/>
    <x v="6"/>
    <n v="85.23"/>
    <n v="68.86"/>
    <n v="26.66"/>
    <n v="77.25"/>
    <n v="87.5"/>
    <n v="5.41"/>
    <n v="38.6"/>
    <s v="Asia-Pacific"/>
    <s v="Rising stars"/>
    <s v="High"/>
    <x v="0"/>
  </r>
  <r>
    <x v="7"/>
    <x v="7"/>
    <n v="81.99"/>
    <n v="88.05"/>
    <n v="25.54"/>
    <n v="30.17"/>
    <n v="62.35"/>
    <n v="4.97"/>
    <n v="36.35"/>
    <s v="Europe"/>
    <s v="Rising stars"/>
    <s v="High"/>
    <x v="0"/>
  </r>
  <r>
    <x v="8"/>
    <x v="8"/>
    <n v="77.22"/>
    <n v="70.22"/>
    <n v="35.840000000000003"/>
    <n v="24.79"/>
    <n v="84.65"/>
    <n v="8.2899999999999991"/>
    <n v="36.04"/>
    <s v="Europe"/>
    <s v="Traditional champions"/>
    <s v="High"/>
    <x v="0"/>
  </r>
  <r>
    <x v="9"/>
    <x v="9"/>
    <n v="77.150000000000006"/>
    <n v="80.02"/>
    <n v="25.48"/>
    <n v="21.44"/>
    <n v="91.2"/>
    <n v="7.65"/>
    <n v="34.42"/>
    <s v="Europe"/>
    <s v="Traditional champions"/>
    <s v="High"/>
    <x v="0"/>
  </r>
  <r>
    <x v="10"/>
    <x v="10"/>
    <n v="63.43"/>
    <n v="61.23"/>
    <n v="32.630000000000003"/>
    <n v="41.15"/>
    <n v="82.11"/>
    <n v="6.72"/>
    <n v="33.86"/>
    <s v="Asia-Pacific"/>
    <s v="Rising stars"/>
    <s v="High"/>
    <x v="0"/>
  </r>
  <r>
    <x v="11"/>
    <x v="11"/>
    <n v="89.5"/>
    <n v="70.150000000000006"/>
    <n v="16.79"/>
    <n v="30.85"/>
    <n v="69.44"/>
    <n v="3.94"/>
    <n v="33.04"/>
    <s v="Europe"/>
    <s v="Rising stars"/>
    <s v="High"/>
    <x v="0"/>
  </r>
  <r>
    <x v="12"/>
    <x v="12"/>
    <n v="71.599999999999994"/>
    <n v="78.760000000000005"/>
    <n v="25.21"/>
    <n v="18.32"/>
    <n v="85.99"/>
    <n v="4.6399999999999997"/>
    <n v="31.36"/>
    <s v="Europe"/>
    <s v="Rising stars"/>
    <s v="High"/>
    <x v="0"/>
  </r>
  <r>
    <x v="13"/>
    <x v="13"/>
    <n v="74.08"/>
    <n v="85.39"/>
    <n v="26.01"/>
    <n v="8.92"/>
    <n v="74.23"/>
    <n v="3.46"/>
    <n v="30.87"/>
    <s v="Europe"/>
    <s v="Rising stars"/>
    <s v="High"/>
    <x v="0"/>
  </r>
  <r>
    <x v="14"/>
    <x v="14"/>
    <n v="94.88"/>
    <n v="66.959999999999994"/>
    <n v="19.39"/>
    <n v="19.95"/>
    <n v="66.69"/>
    <n v="4.68"/>
    <n v="30.73"/>
    <s v="Europe"/>
    <s v="Waking up"/>
    <s v="High"/>
    <x v="0"/>
  </r>
  <r>
    <x v="15"/>
    <x v="15"/>
    <n v="84.58"/>
    <n v="57.53"/>
    <n v="22.51"/>
    <n v="34.47"/>
    <n v="71.959999999999994"/>
    <n v="7.31"/>
    <n v="30.53"/>
    <s v="Asia-Pacific"/>
    <s v="Rising stars"/>
    <s v="High"/>
    <x v="0"/>
  </r>
  <r>
    <x v="16"/>
    <x v="16"/>
    <n v="33.909999999999997"/>
    <n v="77.3"/>
    <n v="18.920000000000002"/>
    <n v="30.86"/>
    <n v="58.83"/>
    <n v="7.39"/>
    <n v="30.36"/>
    <s v="Asia-Pacific"/>
    <s v="Waking up"/>
    <s v="Lower middle"/>
    <x v="3"/>
  </r>
  <r>
    <x v="17"/>
    <x v="17"/>
    <n v="78.430000000000007"/>
    <n v="44.14"/>
    <n v="38.24"/>
    <n v="23.11"/>
    <n v="12.18"/>
    <n v="7.76"/>
    <n v="30.25"/>
    <s v="Europe"/>
    <s v="Rising stars"/>
    <s v="High"/>
    <x v="0"/>
  </r>
  <r>
    <x v="18"/>
    <x v="18"/>
    <n v="75.19"/>
    <n v="66.77"/>
    <n v="27.61"/>
    <n v="17.809999999999999"/>
    <n v="40.35"/>
    <n v="4.51"/>
    <n v="29.85"/>
    <s v="Europe"/>
    <s v="Waking up"/>
    <s v="High"/>
    <x v="0"/>
  </r>
  <r>
    <x v="19"/>
    <x v="19"/>
    <n v="96.11"/>
    <n v="59.5"/>
    <n v="31.51"/>
    <n v="8.6300000000000008"/>
    <n v="33.29"/>
    <n v="5.3"/>
    <n v="29.11"/>
    <s v="Asia-Pacific"/>
    <s v="Waking up"/>
    <s v="High"/>
    <x v="2"/>
  </r>
  <r>
    <x v="20"/>
    <x v="20"/>
    <n v="73.319999999999993"/>
    <n v="75.36"/>
    <n v="18.600000000000001"/>
    <n v="10.87"/>
    <n v="91.28"/>
    <n v="3.08"/>
    <n v="26.95"/>
    <s v="Europe"/>
    <s v="Rising stars"/>
    <s v="High"/>
    <x v="0"/>
  </r>
  <r>
    <x v="21"/>
    <x v="21"/>
    <n v="64.489999999999995"/>
    <n v="76.3"/>
    <n v="23.56"/>
    <n v="17.809999999999999"/>
    <n v="72.14"/>
    <n v="3.08"/>
    <n v="26.89"/>
    <s v="Europe"/>
    <s v="Waking up"/>
    <s v="High"/>
    <x v="2"/>
  </r>
  <r>
    <x v="22"/>
    <x v="22"/>
    <n v="63.65"/>
    <n v="88.67"/>
    <n v="11.75"/>
    <n v="9.31"/>
    <n v="72.08"/>
    <n v="12.51"/>
    <n v="26.6"/>
    <s v="Europe"/>
    <s v="Waking up"/>
    <s v="High"/>
    <x v="0"/>
  </r>
  <r>
    <x v="23"/>
    <x v="23"/>
    <n v="77.86"/>
    <n v="56.67"/>
    <n v="25.71"/>
    <n v="19.989999999999998"/>
    <n v="55.97"/>
    <n v="2.5299999999999998"/>
    <n v="25.79"/>
    <s v="Asia-Pacific"/>
    <s v="Waking up"/>
    <s v="High"/>
    <x v="0"/>
  </r>
  <r>
    <x v="24"/>
    <x v="24"/>
    <n v="76.2"/>
    <n v="36.65"/>
    <n v="21.18"/>
    <n v="13.56"/>
    <n v="59.05"/>
    <n v="3.95"/>
    <n v="25.77"/>
    <s v="Europe"/>
    <s v="Waking up"/>
    <s v="High"/>
    <x v="0"/>
  </r>
  <r>
    <x v="25"/>
    <x v="25"/>
    <n v="70.8"/>
    <n v="100"/>
    <n v="13.63"/>
    <n v="14.38"/>
    <n v="91.63"/>
    <n v="4.7300000000000004"/>
    <n v="25.6"/>
    <s v="Middle East"/>
    <s v="Waking up"/>
    <s v="High"/>
    <x v="1"/>
  </r>
  <r>
    <x v="26"/>
    <x v="26"/>
    <n v="65.099999999999994"/>
    <n v="64.08"/>
    <n v="22.15"/>
    <n v="19.809999999999999"/>
    <n v="63.58"/>
    <n v="5.31"/>
    <n v="25.52"/>
    <s v="Europe"/>
    <s v="Waking up"/>
    <s v="High"/>
    <x v="0"/>
  </r>
  <r>
    <x v="27"/>
    <x v="27"/>
    <n v="70.959999999999994"/>
    <n v="99.56"/>
    <n v="10.6"/>
    <n v="9.09"/>
    <n v="78.14"/>
    <n v="2.25"/>
    <n v="25.2"/>
    <s v="Europe"/>
    <s v="Waking up"/>
    <s v="High"/>
    <x v="2"/>
  </r>
  <r>
    <x v="28"/>
    <x v="28"/>
    <n v="72.06"/>
    <n v="94.55"/>
    <n v="19.100000000000001"/>
    <n v="1.06"/>
    <n v="80.38"/>
    <n v="0.61"/>
    <n v="25.19"/>
    <s v="Europe"/>
    <s v="Waking up"/>
    <s v="High"/>
    <x v="2"/>
  </r>
  <r>
    <x v="29"/>
    <x v="29"/>
    <n v="69.78"/>
    <n v="90.35"/>
    <n v="12.23"/>
    <n v="5.96"/>
    <n v="47.62"/>
    <n v="2.4900000000000002"/>
    <n v="24.88"/>
    <s v="Asia-Pacific"/>
    <s v="Waking up"/>
    <s v="High"/>
    <x v="0"/>
  </r>
  <r>
    <x v="30"/>
    <x v="30"/>
    <n v="64.760000000000005"/>
    <n v="83.25"/>
    <n v="20.3"/>
    <n v="14.66"/>
    <n v="61.43"/>
    <n v="2.64"/>
    <n v="24.45"/>
    <s v="Europe"/>
    <s v="Waking up"/>
    <s v="High"/>
    <x v="0"/>
  </r>
  <r>
    <x v="31"/>
    <x v="31"/>
    <n v="62.59"/>
    <n v="52.85"/>
    <n v="14.21"/>
    <n v="19.48"/>
    <n v="90.4"/>
    <n v="1.38"/>
    <n v="21.99"/>
    <s v="Europe"/>
    <s v="Waking up"/>
    <s v="Upper middle"/>
    <x v="3"/>
  </r>
  <r>
    <x v="32"/>
    <x v="32"/>
    <n v="67.12"/>
    <n v="70.959999999999994"/>
    <n v="5.96"/>
    <n v="11.72"/>
    <n v="70.489999999999995"/>
    <n v="4.3"/>
    <n v="21.85"/>
    <s v="Europe"/>
    <s v="Waking up"/>
    <s v="High"/>
    <x v="2"/>
  </r>
  <r>
    <x v="33"/>
    <x v="33"/>
    <n v="79.16"/>
    <n v="72.12"/>
    <n v="5.13"/>
    <n v="15.53"/>
    <n v="81.38"/>
    <n v="3.22"/>
    <n v="21.17"/>
    <s v="Middle East"/>
    <s v="Waking up"/>
    <s v="High"/>
    <x v="1"/>
  </r>
  <r>
    <x v="34"/>
    <x v="34"/>
    <n v="64.2"/>
    <n v="80.66"/>
    <n v="8.9600000000000009"/>
    <n v="3.92"/>
    <n v="70.69"/>
    <n v="2.0499999999999998"/>
    <n v="20.89"/>
    <s v="Europe"/>
    <s v="Waking up"/>
    <s v="High"/>
    <x v="2"/>
  </r>
  <r>
    <x v="35"/>
    <x v="35"/>
    <n v="64.260000000000005"/>
    <n v="76.97"/>
    <n v="11.26"/>
    <n v="2.7"/>
    <n v="70.290000000000006"/>
    <n v="1.75"/>
    <n v="20.309999999999999"/>
    <s v="Europe"/>
    <s v="Waking up"/>
    <s v="High"/>
    <x v="2"/>
  </r>
  <r>
    <x v="36"/>
    <x v="36"/>
    <n v="72.45"/>
    <n v="41.19"/>
    <n v="18.29"/>
    <n v="0.19"/>
    <n v="22.15"/>
    <n v="5.74"/>
    <n v="19.809999999999999"/>
    <s v="Europe"/>
    <s v="Waking up"/>
    <s v="High"/>
    <x v="0"/>
  </r>
  <r>
    <x v="37"/>
    <x v="37"/>
    <n v="63.19"/>
    <n v="80.67"/>
    <n v="3.22"/>
    <n v="6.18"/>
    <n v="64.28"/>
    <n v="1.77"/>
    <n v="19.59"/>
    <s v="Europe"/>
    <s v="Waking up"/>
    <s v="High"/>
    <x v="2"/>
  </r>
  <r>
    <x v="38"/>
    <x v="38"/>
    <n v="62.61"/>
    <n v="72.819999999999993"/>
    <n v="4.83"/>
    <n v="5.07"/>
    <n v="67.72"/>
    <n v="1.36"/>
    <n v="18.89"/>
    <s v="Americas"/>
    <s v="Waking up"/>
    <s v="Upper middle"/>
    <x v="2"/>
  </r>
  <r>
    <x v="39"/>
    <x v="39"/>
    <n v="55.44"/>
    <n v="83.58"/>
    <n v="15.12"/>
    <n v="2.21"/>
    <n v="22.15"/>
    <n v="0.92"/>
    <n v="17.329999999999998"/>
    <s v="Europe"/>
    <s v="Waking up"/>
    <s v="High"/>
    <x v="0"/>
  </r>
  <r>
    <x v="40"/>
    <x v="40"/>
    <n v="65.36"/>
    <n v="88.71"/>
    <n v="2.97"/>
    <n v="0.34"/>
    <n v="43.07"/>
    <n v="0.67"/>
    <n v="17.239999999999998"/>
    <s v="Europe"/>
    <s v="Waking up"/>
    <s v="High"/>
    <x v="2"/>
  </r>
  <r>
    <x v="41"/>
    <x v="41"/>
    <n v="69.17"/>
    <n v="58.01"/>
    <n v="4.3099999999999996"/>
    <n v="5.4"/>
    <n v="55.01"/>
    <n v="1.08"/>
    <n v="17"/>
    <s v="Europe"/>
    <s v="Waking up"/>
    <s v="High"/>
    <x v="3"/>
  </r>
  <r>
    <x v="42"/>
    <x v="42"/>
    <n v="62.04"/>
    <n v="73.239999999999995"/>
    <n v="5.57"/>
    <n v="0.88"/>
    <n v="47.6"/>
    <n v="0.63"/>
    <n v="16.66"/>
    <s v="Asia-Pacific"/>
    <s v="Waking up"/>
    <s v="Upper middle"/>
    <x v="3"/>
  </r>
  <r>
    <x v="43"/>
    <x v="43"/>
    <n v="41.85"/>
    <n v="97.03"/>
    <n v="8.11"/>
    <n v="4.46"/>
    <n v="54.21"/>
    <n v="0.78"/>
    <n v="15.48"/>
    <s v="Americas"/>
    <s v="Waking up"/>
    <s v="Upper middle"/>
    <x v="2"/>
  </r>
  <r>
    <x v="44"/>
    <x v="44"/>
    <n v="61.97"/>
    <n v="56.73"/>
    <n v="1.49"/>
    <n v="0.67"/>
    <n v="60.5"/>
    <n v="2.95"/>
    <n v="15.33"/>
    <s v="Americas"/>
    <s v="Waking up"/>
    <s v="High"/>
    <x v="0"/>
  </r>
  <r>
    <x v="45"/>
    <x v="45"/>
    <n v="56.15"/>
    <n v="75.95"/>
    <n v="1.25"/>
    <n v="3.19"/>
    <n v="54.94"/>
    <n v="0.34"/>
    <n v="15.24"/>
    <s v="Americas"/>
    <s v="Waking up"/>
    <s v="Upper middle"/>
    <x v="2"/>
  </r>
  <r>
    <x v="46"/>
    <x v="46"/>
    <n v="67.97"/>
    <n v="62.58"/>
    <n v="11.94"/>
    <n v="0"/>
    <n v="33.49"/>
    <n v="0"/>
    <n v="14.66"/>
    <s v="Middle East"/>
    <s v="Waking up"/>
    <s v="High"/>
    <x v="1"/>
  </r>
  <r>
    <x v="47"/>
    <x v="47"/>
    <n v="40.74"/>
    <n v="64.34"/>
    <n v="9.5299999999999994"/>
    <n v="1.02"/>
    <n v="67.45"/>
    <n v="0.95"/>
    <n v="14.39"/>
    <s v="Europe"/>
    <s v="Waking up"/>
    <s v="High"/>
    <x v="2"/>
  </r>
  <r>
    <x v="48"/>
    <x v="48"/>
    <n v="54.8"/>
    <n v="62.37"/>
    <n v="0"/>
    <n v="0.89"/>
    <n v="85.29"/>
    <n v="0.5"/>
    <n v="13.85"/>
    <s v="Americas"/>
    <s v="Waking up"/>
    <s v="Upper middle"/>
    <x v="2"/>
  </r>
  <r>
    <x v="49"/>
    <x v="49"/>
    <n v="58.77"/>
    <n v="70.75"/>
    <n v="0.73"/>
    <n v="0.26"/>
    <n v="30.92"/>
    <n v="0.43"/>
    <n v="13.27"/>
    <s v="Americas"/>
    <s v="Waking up"/>
    <s v="High"/>
    <x v="0"/>
  </r>
  <r>
    <x v="50"/>
    <x v="50"/>
    <n v="60.39"/>
    <n v="60.9"/>
    <n v="2.5299999999999998"/>
    <n v="0"/>
    <n v="17.72"/>
    <n v="0.24"/>
    <n v="11.79"/>
    <s v="Middle East"/>
    <s v="Waking up"/>
    <s v="High"/>
    <x v="1"/>
  </r>
  <r>
    <x v="51"/>
    <x v="51"/>
    <n v="55.76"/>
    <n v="37.61"/>
    <n v="2.0299999999999998"/>
    <n v="0.3"/>
    <n v="68.86"/>
    <n v="0.31"/>
    <n v="11.62"/>
    <s v="Asia-Pacific"/>
    <s v="Waking up"/>
    <s v="Lower middle"/>
    <x v="1"/>
  </r>
  <r>
    <x v="52"/>
    <x v="52"/>
    <n v="47.52"/>
    <n v="51.18"/>
    <n v="0.98"/>
    <n v="3.52"/>
    <n v="59.99"/>
    <n v="0.91"/>
    <n v="11.47"/>
    <s v="Asia-Pacific"/>
    <s v="Waking up"/>
    <s v="Lower middle"/>
    <x v="2"/>
  </r>
  <r>
    <x v="53"/>
    <x v="53"/>
    <n v="38.590000000000003"/>
    <n v="62.32"/>
    <n v="3.9"/>
    <n v="0"/>
    <n v="12.18"/>
    <n v="0.15"/>
    <n v="9.8699999999999992"/>
    <s v="Africa"/>
    <s v="Waking up"/>
    <s v="Lower middle"/>
    <x v="2"/>
  </r>
  <r>
    <x v="54"/>
    <x v="54"/>
    <n v="45.73"/>
    <n v="58.43"/>
    <n v="0.83"/>
    <n v="7.52"/>
    <n v="0"/>
    <n v="2.0299999999999998"/>
    <n v="9.7100000000000009"/>
    <s v="Africa"/>
    <s v="Waking up"/>
    <s v="Upper middle"/>
    <x v="2"/>
  </r>
  <r>
    <x v="55"/>
    <x v="55"/>
    <n v="44.88"/>
    <n v="60.17"/>
    <n v="1.46"/>
    <n v="0.05"/>
    <n v="15.9"/>
    <n v="0.1"/>
    <n v="8.8699999999999992"/>
    <s v="Africa"/>
    <s v="Waking up"/>
    <s v="Lower middle"/>
    <x v="1"/>
  </r>
  <r>
    <x v="56"/>
    <x v="56"/>
    <n v="37.840000000000003"/>
    <n v="58.4"/>
    <n v="0.28000000000000003"/>
    <n v="0.33"/>
    <n v="14.4"/>
    <n v="1.37"/>
    <n v="8.49"/>
    <s v="Europe"/>
    <s v="Waking up"/>
    <s v="Upper middle"/>
    <x v="2"/>
  </r>
  <r>
    <x v="57"/>
    <x v="57"/>
    <n v="34.64"/>
    <n v="35.79"/>
    <n v="0.12"/>
    <n v="0.95"/>
    <n v="35.57"/>
    <n v="0.09"/>
    <n v="6.62"/>
    <s v="Asia-Pacific"/>
    <s v="Nascent"/>
    <s v="Lower middle"/>
    <x v="2"/>
  </r>
  <r>
    <x v="58"/>
    <x v="58"/>
    <n v="38.840000000000003"/>
    <n v="0"/>
    <n v="2.08"/>
    <n v="1.54"/>
    <n v="68.72"/>
    <n v="0.31"/>
    <n v="4.83"/>
    <s v="Middle East"/>
    <s v="Nascent"/>
    <s v="Lower middle"/>
    <x v="3"/>
  </r>
  <r>
    <x v="59"/>
    <x v="59"/>
    <n v="14.11"/>
    <n v="29.84"/>
    <n v="7.0000000000000007E-2"/>
    <n v="12.15"/>
    <n v="7.75"/>
    <n v="0.31"/>
    <n v="2.2999999999999998"/>
    <s v="Africa"/>
    <s v="Nascent"/>
    <s v="Lower middle"/>
    <x v="3"/>
  </r>
  <r>
    <x v="60"/>
    <x v="60"/>
    <n v="0"/>
    <n v="50.1"/>
    <n v="0.45"/>
    <n v="2.06"/>
    <n v="7.75"/>
    <n v="0.33"/>
    <n v="1.38"/>
    <s v="Africa"/>
    <s v="Nascent"/>
    <s v="Lower middle"/>
    <x v="3"/>
  </r>
  <r>
    <x v="61"/>
    <x v="61"/>
    <n v="2.4300000000000002"/>
    <n v="12.48"/>
    <n v="2.17"/>
    <n v="1.0900000000000001"/>
    <n v="13.92"/>
    <n v="0.27"/>
    <n v="0"/>
    <s v="Asia-Pacific"/>
    <s v="Nascent"/>
    <s v="Lower middle"/>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00"/>
    <n v="94.02"/>
    <n v="64.56"/>
    <n v="100"/>
    <n v="100"/>
    <n v="77.39"/>
    <x v="0"/>
    <n v="100"/>
    <x v="0"/>
    <x v="0"/>
    <x v="0"/>
    <x v="0"/>
  </r>
  <r>
    <x v="1"/>
    <n v="16.510000000000002"/>
    <n v="100"/>
    <n v="91.57"/>
    <n v="71.42"/>
    <n v="79.97"/>
    <n v="94.87"/>
    <x v="1"/>
    <n v="62.92"/>
    <x v="1"/>
    <x v="0"/>
    <x v="1"/>
    <x v="1"/>
  </r>
  <r>
    <x v="2"/>
    <n v="39.65"/>
    <n v="71.430000000000007"/>
    <n v="74.650000000000006"/>
    <n v="36.5"/>
    <n v="25.03"/>
    <n v="82.82"/>
    <x v="2"/>
    <n v="40.93"/>
    <x v="2"/>
    <x v="1"/>
    <x v="0"/>
    <x v="0"/>
  </r>
  <r>
    <x v="3"/>
    <n v="31.28"/>
    <n v="77.05"/>
    <n v="93.94"/>
    <n v="30.67"/>
    <n v="25.78"/>
    <n v="100"/>
    <x v="3"/>
    <n v="40.19"/>
    <x v="0"/>
    <x v="1"/>
    <x v="0"/>
    <x v="0"/>
  </r>
  <r>
    <x v="4"/>
    <n v="35.76"/>
    <n v="67.58"/>
    <n v="82.44"/>
    <n v="32.630000000000003"/>
    <n v="27.96"/>
    <n v="43.91"/>
    <x v="4"/>
    <n v="39.89"/>
    <x v="3"/>
    <x v="2"/>
    <x v="0"/>
    <x v="0"/>
  </r>
  <r>
    <x v="5"/>
    <n v="39.380000000000003"/>
    <n v="84.3"/>
    <n v="43.15"/>
    <n v="37.67"/>
    <n v="22.55"/>
    <n v="79.819999999999993"/>
    <x v="5"/>
    <n v="38.67"/>
    <x v="1"/>
    <x v="2"/>
    <x v="0"/>
    <x v="2"/>
  </r>
  <r>
    <x v="6"/>
    <n v="14.54"/>
    <n v="85.23"/>
    <n v="68.86"/>
    <n v="26.66"/>
    <n v="77.25"/>
    <n v="87.5"/>
    <x v="6"/>
    <n v="38.6"/>
    <x v="1"/>
    <x v="2"/>
    <x v="0"/>
    <x v="0"/>
  </r>
  <r>
    <x v="7"/>
    <n v="33.83"/>
    <n v="81.99"/>
    <n v="88.05"/>
    <n v="25.54"/>
    <n v="30.17"/>
    <n v="62.35"/>
    <x v="7"/>
    <n v="36.35"/>
    <x v="2"/>
    <x v="2"/>
    <x v="0"/>
    <x v="0"/>
  </r>
  <r>
    <x v="8"/>
    <n v="27.63"/>
    <n v="77.22"/>
    <n v="70.22"/>
    <n v="35.840000000000003"/>
    <n v="24.79"/>
    <n v="84.65"/>
    <x v="8"/>
    <n v="36.04"/>
    <x v="2"/>
    <x v="1"/>
    <x v="0"/>
    <x v="0"/>
  </r>
  <r>
    <x v="9"/>
    <n v="28.32"/>
    <n v="77.150000000000006"/>
    <n v="80.02"/>
    <n v="25.48"/>
    <n v="21.44"/>
    <n v="91.2"/>
    <x v="9"/>
    <n v="34.42"/>
    <x v="2"/>
    <x v="1"/>
    <x v="0"/>
    <x v="0"/>
  </r>
  <r>
    <x v="10"/>
    <n v="25.43"/>
    <n v="63.43"/>
    <n v="61.23"/>
    <n v="32.630000000000003"/>
    <n v="41.15"/>
    <n v="82.11"/>
    <x v="10"/>
    <n v="33.86"/>
    <x v="1"/>
    <x v="2"/>
    <x v="0"/>
    <x v="0"/>
  </r>
  <r>
    <x v="11"/>
    <n v="29.93"/>
    <n v="89.5"/>
    <n v="70.150000000000006"/>
    <n v="16.79"/>
    <n v="30.85"/>
    <n v="69.44"/>
    <x v="11"/>
    <n v="33.04"/>
    <x v="2"/>
    <x v="2"/>
    <x v="0"/>
    <x v="0"/>
  </r>
  <r>
    <x v="12"/>
    <n v="24.99"/>
    <n v="71.599999999999994"/>
    <n v="78.760000000000005"/>
    <n v="25.21"/>
    <n v="18.32"/>
    <n v="85.99"/>
    <x v="12"/>
    <n v="31.36"/>
    <x v="2"/>
    <x v="2"/>
    <x v="0"/>
    <x v="0"/>
  </r>
  <r>
    <x v="13"/>
    <n v="27.07"/>
    <n v="74.08"/>
    <n v="85.39"/>
    <n v="26.01"/>
    <n v="8.92"/>
    <n v="74.23"/>
    <x v="13"/>
    <n v="30.87"/>
    <x v="2"/>
    <x v="2"/>
    <x v="0"/>
    <x v="0"/>
  </r>
  <r>
    <x v="14"/>
    <n v="21.66"/>
    <n v="94.88"/>
    <n v="66.959999999999994"/>
    <n v="19.39"/>
    <n v="19.95"/>
    <n v="66.69"/>
    <x v="14"/>
    <n v="30.73"/>
    <x v="2"/>
    <x v="3"/>
    <x v="0"/>
    <x v="0"/>
  </r>
  <r>
    <x v="15"/>
    <n v="15.18"/>
    <n v="84.58"/>
    <n v="57.53"/>
    <n v="22.51"/>
    <n v="34.47"/>
    <n v="71.959999999999994"/>
    <x v="15"/>
    <n v="30.53"/>
    <x v="1"/>
    <x v="2"/>
    <x v="0"/>
    <x v="0"/>
  </r>
  <r>
    <x v="16"/>
    <n v="45.27"/>
    <n v="33.909999999999997"/>
    <n v="77.3"/>
    <n v="18.920000000000002"/>
    <n v="30.86"/>
    <n v="58.83"/>
    <x v="16"/>
    <n v="30.36"/>
    <x v="1"/>
    <x v="3"/>
    <x v="2"/>
    <x v="3"/>
  </r>
  <r>
    <x v="17"/>
    <n v="25.63"/>
    <n v="78.430000000000007"/>
    <n v="44.14"/>
    <n v="38.24"/>
    <n v="23.11"/>
    <n v="12.18"/>
    <x v="17"/>
    <n v="30.25"/>
    <x v="2"/>
    <x v="2"/>
    <x v="0"/>
    <x v="0"/>
  </r>
  <r>
    <x v="18"/>
    <n v="28.21"/>
    <n v="75.19"/>
    <n v="66.77"/>
    <n v="27.61"/>
    <n v="17.809999999999999"/>
    <n v="40.35"/>
    <x v="18"/>
    <n v="29.85"/>
    <x v="2"/>
    <x v="3"/>
    <x v="0"/>
    <x v="0"/>
  </r>
  <r>
    <x v="19"/>
    <n v="17.559999999999999"/>
    <n v="96.11"/>
    <n v="59.5"/>
    <n v="31.51"/>
    <n v="8.6300000000000008"/>
    <n v="33.29"/>
    <x v="19"/>
    <n v="29.11"/>
    <x v="1"/>
    <x v="3"/>
    <x v="0"/>
    <x v="2"/>
  </r>
  <r>
    <x v="20"/>
    <n v="17.61"/>
    <n v="73.319999999999993"/>
    <n v="75.36"/>
    <n v="18.600000000000001"/>
    <n v="10.87"/>
    <n v="91.28"/>
    <x v="20"/>
    <n v="26.95"/>
    <x v="2"/>
    <x v="2"/>
    <x v="0"/>
    <x v="0"/>
  </r>
  <r>
    <x v="21"/>
    <n v="16.97"/>
    <n v="64.489999999999995"/>
    <n v="76.3"/>
    <n v="23.56"/>
    <n v="17.809999999999999"/>
    <n v="72.14"/>
    <x v="20"/>
    <n v="26.89"/>
    <x v="2"/>
    <x v="3"/>
    <x v="0"/>
    <x v="2"/>
  </r>
  <r>
    <x v="22"/>
    <n v="18.739999999999998"/>
    <n v="63.65"/>
    <n v="88.67"/>
    <n v="11.75"/>
    <n v="9.31"/>
    <n v="72.08"/>
    <x v="21"/>
    <n v="26.6"/>
    <x v="2"/>
    <x v="3"/>
    <x v="0"/>
    <x v="0"/>
  </r>
  <r>
    <x v="23"/>
    <n v="12.34"/>
    <n v="77.86"/>
    <n v="56.67"/>
    <n v="25.71"/>
    <n v="19.989999999999998"/>
    <n v="55.97"/>
    <x v="22"/>
    <n v="25.79"/>
    <x v="1"/>
    <x v="3"/>
    <x v="0"/>
    <x v="0"/>
  </r>
  <r>
    <x v="24"/>
    <n v="27.61"/>
    <n v="76.2"/>
    <n v="36.65"/>
    <n v="21.18"/>
    <n v="13.56"/>
    <n v="59.05"/>
    <x v="23"/>
    <n v="25.77"/>
    <x v="2"/>
    <x v="3"/>
    <x v="0"/>
    <x v="0"/>
  </r>
  <r>
    <x v="25"/>
    <n v="4.49"/>
    <n v="70.8"/>
    <n v="100"/>
    <n v="13.63"/>
    <n v="14.38"/>
    <n v="91.63"/>
    <x v="24"/>
    <n v="25.6"/>
    <x v="3"/>
    <x v="3"/>
    <x v="0"/>
    <x v="1"/>
  </r>
  <r>
    <x v="26"/>
    <n v="15.17"/>
    <n v="65.099999999999994"/>
    <n v="64.08"/>
    <n v="22.15"/>
    <n v="19.809999999999999"/>
    <n v="63.58"/>
    <x v="25"/>
    <n v="25.52"/>
    <x v="2"/>
    <x v="3"/>
    <x v="0"/>
    <x v="0"/>
  </r>
  <r>
    <x v="27"/>
    <n v="14.21"/>
    <n v="70.959999999999994"/>
    <n v="99.56"/>
    <n v="10.6"/>
    <n v="9.09"/>
    <n v="78.14"/>
    <x v="26"/>
    <n v="25.2"/>
    <x v="2"/>
    <x v="3"/>
    <x v="0"/>
    <x v="2"/>
  </r>
  <r>
    <x v="28"/>
    <n v="13.02"/>
    <n v="72.06"/>
    <n v="94.55"/>
    <n v="19.100000000000001"/>
    <n v="1.06"/>
    <n v="80.38"/>
    <x v="27"/>
    <n v="25.19"/>
    <x v="2"/>
    <x v="3"/>
    <x v="0"/>
    <x v="2"/>
  </r>
  <r>
    <x v="29"/>
    <n v="23.3"/>
    <n v="69.78"/>
    <n v="90.35"/>
    <n v="12.23"/>
    <n v="5.96"/>
    <n v="47.62"/>
    <x v="28"/>
    <n v="24.88"/>
    <x v="1"/>
    <x v="3"/>
    <x v="0"/>
    <x v="0"/>
  </r>
  <r>
    <x v="30"/>
    <n v="11.09"/>
    <n v="64.760000000000005"/>
    <n v="83.25"/>
    <n v="20.3"/>
    <n v="14.66"/>
    <n v="61.43"/>
    <x v="29"/>
    <n v="24.45"/>
    <x v="2"/>
    <x v="3"/>
    <x v="0"/>
    <x v="0"/>
  </r>
  <r>
    <x v="31"/>
    <n v="12.46"/>
    <n v="62.59"/>
    <n v="52.85"/>
    <n v="14.21"/>
    <n v="19.48"/>
    <n v="90.4"/>
    <x v="30"/>
    <n v="21.99"/>
    <x v="2"/>
    <x v="3"/>
    <x v="1"/>
    <x v="3"/>
  </r>
  <r>
    <x v="32"/>
    <n v="15.87"/>
    <n v="67.12"/>
    <n v="70.959999999999994"/>
    <n v="5.96"/>
    <n v="11.72"/>
    <n v="70.489999999999995"/>
    <x v="31"/>
    <n v="21.85"/>
    <x v="2"/>
    <x v="3"/>
    <x v="0"/>
    <x v="2"/>
  </r>
  <r>
    <x v="33"/>
    <n v="2.65"/>
    <n v="79.16"/>
    <n v="72.12"/>
    <n v="5.13"/>
    <n v="15.53"/>
    <n v="81.38"/>
    <x v="32"/>
    <n v="21.17"/>
    <x v="3"/>
    <x v="3"/>
    <x v="0"/>
    <x v="1"/>
  </r>
  <r>
    <x v="34"/>
    <n v="13.43"/>
    <n v="64.2"/>
    <n v="80.66"/>
    <n v="8.9600000000000009"/>
    <n v="3.92"/>
    <n v="70.69"/>
    <x v="33"/>
    <n v="20.89"/>
    <x v="2"/>
    <x v="3"/>
    <x v="0"/>
    <x v="2"/>
  </r>
  <r>
    <x v="35"/>
    <n v="11.11"/>
    <n v="64.260000000000005"/>
    <n v="76.97"/>
    <n v="11.26"/>
    <n v="2.7"/>
    <n v="70.290000000000006"/>
    <x v="34"/>
    <n v="20.309999999999999"/>
    <x v="2"/>
    <x v="3"/>
    <x v="0"/>
    <x v="2"/>
  </r>
  <r>
    <x v="36"/>
    <n v="18.45"/>
    <n v="72.45"/>
    <n v="41.19"/>
    <n v="18.29"/>
    <n v="0.19"/>
    <n v="22.15"/>
    <x v="35"/>
    <n v="19.809999999999999"/>
    <x v="2"/>
    <x v="3"/>
    <x v="0"/>
    <x v="0"/>
  </r>
  <r>
    <x v="37"/>
    <n v="14.3"/>
    <n v="63.19"/>
    <n v="80.67"/>
    <n v="3.22"/>
    <n v="6.18"/>
    <n v="64.28"/>
    <x v="36"/>
    <n v="19.59"/>
    <x v="2"/>
    <x v="3"/>
    <x v="0"/>
    <x v="2"/>
  </r>
  <r>
    <x v="38"/>
    <n v="13.46"/>
    <n v="62.61"/>
    <n v="72.819999999999993"/>
    <n v="4.83"/>
    <n v="5.07"/>
    <n v="67.72"/>
    <x v="37"/>
    <n v="18.89"/>
    <x v="0"/>
    <x v="3"/>
    <x v="1"/>
    <x v="2"/>
  </r>
  <r>
    <x v="39"/>
    <n v="7.62"/>
    <n v="55.44"/>
    <n v="83.58"/>
    <n v="15.12"/>
    <n v="2.21"/>
    <n v="22.15"/>
    <x v="38"/>
    <n v="17.329999999999998"/>
    <x v="2"/>
    <x v="3"/>
    <x v="0"/>
    <x v="0"/>
  </r>
  <r>
    <x v="40"/>
    <n v="8.5500000000000007"/>
    <n v="65.36"/>
    <n v="88.71"/>
    <n v="2.97"/>
    <n v="0.34"/>
    <n v="43.07"/>
    <x v="39"/>
    <n v="17.239999999999998"/>
    <x v="2"/>
    <x v="3"/>
    <x v="0"/>
    <x v="2"/>
  </r>
  <r>
    <x v="41"/>
    <n v="10.34"/>
    <n v="69.17"/>
    <n v="58.01"/>
    <n v="4.3099999999999996"/>
    <n v="5.4"/>
    <n v="55.01"/>
    <x v="40"/>
    <n v="17"/>
    <x v="2"/>
    <x v="3"/>
    <x v="0"/>
    <x v="3"/>
  </r>
  <r>
    <x v="42"/>
    <n v="10.44"/>
    <n v="62.04"/>
    <n v="73.239999999999995"/>
    <n v="5.57"/>
    <n v="0.88"/>
    <n v="47.6"/>
    <x v="41"/>
    <n v="16.66"/>
    <x v="1"/>
    <x v="3"/>
    <x v="1"/>
    <x v="3"/>
  </r>
  <r>
    <x v="43"/>
    <n v="1.72"/>
    <n v="41.85"/>
    <n v="97.03"/>
    <n v="8.11"/>
    <n v="4.46"/>
    <n v="54.21"/>
    <x v="42"/>
    <n v="15.48"/>
    <x v="0"/>
    <x v="3"/>
    <x v="1"/>
    <x v="2"/>
  </r>
  <r>
    <x v="44"/>
    <n v="10.56"/>
    <n v="61.97"/>
    <n v="56.73"/>
    <n v="1.49"/>
    <n v="0.67"/>
    <n v="60.5"/>
    <x v="43"/>
    <n v="15.33"/>
    <x v="0"/>
    <x v="3"/>
    <x v="0"/>
    <x v="0"/>
  </r>
  <r>
    <x v="45"/>
    <n v="8.4"/>
    <n v="56.15"/>
    <n v="75.95"/>
    <n v="1.25"/>
    <n v="3.19"/>
    <n v="54.94"/>
    <x v="44"/>
    <n v="15.24"/>
    <x v="0"/>
    <x v="3"/>
    <x v="1"/>
    <x v="2"/>
  </r>
  <r>
    <x v="46"/>
    <n v="0"/>
    <n v="67.97"/>
    <n v="62.58"/>
    <n v="11.94"/>
    <n v="0"/>
    <n v="33.49"/>
    <x v="45"/>
    <n v="14.66"/>
    <x v="3"/>
    <x v="3"/>
    <x v="0"/>
    <x v="1"/>
  </r>
  <r>
    <x v="47"/>
    <n v="8.49"/>
    <n v="40.74"/>
    <n v="64.34"/>
    <n v="9.5299999999999994"/>
    <n v="1.02"/>
    <n v="67.45"/>
    <x v="46"/>
    <n v="14.39"/>
    <x v="2"/>
    <x v="3"/>
    <x v="0"/>
    <x v="2"/>
  </r>
  <r>
    <x v="48"/>
    <n v="4.97"/>
    <n v="54.8"/>
    <n v="62.37"/>
    <n v="0"/>
    <n v="0.89"/>
    <n v="85.29"/>
    <x v="47"/>
    <n v="13.85"/>
    <x v="0"/>
    <x v="3"/>
    <x v="1"/>
    <x v="2"/>
  </r>
  <r>
    <x v="49"/>
    <n v="7.28"/>
    <n v="58.77"/>
    <n v="70.75"/>
    <n v="0.73"/>
    <n v="0.26"/>
    <n v="30.92"/>
    <x v="48"/>
    <n v="13.27"/>
    <x v="0"/>
    <x v="3"/>
    <x v="0"/>
    <x v="0"/>
  </r>
  <r>
    <x v="50"/>
    <n v="4.99"/>
    <n v="60.39"/>
    <n v="60.9"/>
    <n v="2.5299999999999998"/>
    <n v="0"/>
    <n v="17.72"/>
    <x v="49"/>
    <n v="11.79"/>
    <x v="3"/>
    <x v="3"/>
    <x v="0"/>
    <x v="1"/>
  </r>
  <r>
    <x v="51"/>
    <n v="6.34"/>
    <n v="55.76"/>
    <n v="37.61"/>
    <n v="2.0299999999999998"/>
    <n v="0.3"/>
    <n v="68.86"/>
    <x v="50"/>
    <n v="11.62"/>
    <x v="1"/>
    <x v="3"/>
    <x v="2"/>
    <x v="1"/>
  </r>
  <r>
    <x v="52"/>
    <n v="5.51"/>
    <n v="47.52"/>
    <n v="51.18"/>
    <n v="0.98"/>
    <n v="3.52"/>
    <n v="59.99"/>
    <x v="51"/>
    <n v="11.47"/>
    <x v="1"/>
    <x v="3"/>
    <x v="2"/>
    <x v="2"/>
  </r>
  <r>
    <x v="53"/>
    <n v="8.94"/>
    <n v="38.590000000000003"/>
    <n v="62.32"/>
    <n v="3.9"/>
    <n v="0"/>
    <n v="12.18"/>
    <x v="52"/>
    <n v="9.8699999999999992"/>
    <x v="4"/>
    <x v="3"/>
    <x v="2"/>
    <x v="2"/>
  </r>
  <r>
    <x v="54"/>
    <n v="4.6100000000000003"/>
    <n v="45.73"/>
    <n v="58.43"/>
    <n v="0.83"/>
    <n v="7.52"/>
    <n v="0"/>
    <x v="53"/>
    <n v="9.7100000000000009"/>
    <x v="4"/>
    <x v="3"/>
    <x v="1"/>
    <x v="2"/>
  </r>
  <r>
    <x v="55"/>
    <n v="3.36"/>
    <n v="44.88"/>
    <n v="60.17"/>
    <n v="1.46"/>
    <n v="0.05"/>
    <n v="15.9"/>
    <x v="54"/>
    <n v="8.8699999999999992"/>
    <x v="4"/>
    <x v="3"/>
    <x v="2"/>
    <x v="1"/>
  </r>
  <r>
    <x v="56"/>
    <n v="6.69"/>
    <n v="37.840000000000003"/>
    <n v="58.4"/>
    <n v="0.28000000000000003"/>
    <n v="0.33"/>
    <n v="14.4"/>
    <x v="55"/>
    <n v="8.49"/>
    <x v="2"/>
    <x v="3"/>
    <x v="1"/>
    <x v="2"/>
  </r>
  <r>
    <x v="57"/>
    <n v="6.27"/>
    <n v="34.64"/>
    <n v="35.79"/>
    <n v="0.12"/>
    <n v="0.95"/>
    <n v="35.57"/>
    <x v="56"/>
    <n v="6.62"/>
    <x v="1"/>
    <x v="4"/>
    <x v="2"/>
    <x v="2"/>
  </r>
  <r>
    <x v="58"/>
    <n v="1.1100000000000001"/>
    <n v="38.840000000000003"/>
    <n v="0"/>
    <n v="2.08"/>
    <n v="1.54"/>
    <n v="68.72"/>
    <x v="50"/>
    <n v="4.83"/>
    <x v="3"/>
    <x v="4"/>
    <x v="2"/>
    <x v="3"/>
  </r>
  <r>
    <x v="59"/>
    <n v="0.75"/>
    <n v="14.11"/>
    <n v="29.84"/>
    <n v="7.0000000000000007E-2"/>
    <n v="12.15"/>
    <n v="7.75"/>
    <x v="50"/>
    <n v="2.2999999999999998"/>
    <x v="4"/>
    <x v="4"/>
    <x v="2"/>
    <x v="3"/>
  </r>
  <r>
    <x v="60"/>
    <n v="2.74"/>
    <n v="0"/>
    <n v="50.1"/>
    <n v="0.45"/>
    <n v="2.06"/>
    <n v="7.75"/>
    <x v="57"/>
    <n v="1.38"/>
    <x v="4"/>
    <x v="4"/>
    <x v="2"/>
    <x v="3"/>
  </r>
  <r>
    <x v="61"/>
    <n v="8"/>
    <n v="2.4300000000000002"/>
    <n v="12.48"/>
    <n v="2.17"/>
    <n v="1.0900000000000001"/>
    <n v="13.92"/>
    <x v="58"/>
    <n v="0"/>
    <x v="1"/>
    <x v="4"/>
    <x v="2"/>
    <x v="3"/>
  </r>
  <r>
    <x v="62"/>
    <m/>
    <m/>
    <m/>
    <m/>
    <m/>
    <m/>
    <x v="59"/>
    <m/>
    <x v="5"/>
    <x v="5"/>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23400-5729-4250-B00A-A535BA98BA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3">
    <pivotField axis="axisRow" showAll="0">
      <items count="63">
        <item h="1" x="45"/>
        <item h="1" x="56"/>
        <item h="1" x="10"/>
        <item h="1" x="21"/>
        <item h="1" x="50"/>
        <item h="1" x="26"/>
        <item h="1" x="38"/>
        <item h="1" x="3"/>
        <item h="1" x="44"/>
        <item h="1" x="1"/>
        <item h="1" x="48"/>
        <item x="35"/>
        <item h="1" x="13"/>
        <item h="1" x="58"/>
        <item h="1" x="22"/>
        <item h="1" x="12"/>
        <item h="1" x="9"/>
        <item h="1" x="8"/>
        <item h="1" x="39"/>
        <item h="1" x="19"/>
        <item h="1" x="41"/>
        <item h="1" x="36"/>
        <item h="1" x="16"/>
        <item h="1" x="52"/>
        <item h="1" x="11"/>
        <item h="1" x="4"/>
        <item h="1" x="30"/>
        <item h="1" x="15"/>
        <item h="1" x="59"/>
        <item h="1" x="37"/>
        <item h="1" x="14"/>
        <item h="1" x="42"/>
        <item h="1" x="32"/>
        <item h="1" x="43"/>
        <item h="1" x="55"/>
        <item h="1" x="29"/>
        <item h="1" x="60"/>
        <item h="1" x="24"/>
        <item h="1" x="61"/>
        <item h="1" x="27"/>
        <item h="1" x="34"/>
        <item h="1" x="46"/>
        <item h="1" x="31"/>
        <item h="1" x="25"/>
        <item h="1" x="5"/>
        <item h="1" x="40"/>
        <item h="1" x="28"/>
        <item h="1" x="54"/>
        <item h="1" x="6"/>
        <item h="1" x="20"/>
        <item h="1" x="57"/>
        <item h="1" x="18"/>
        <item h="1" x="17"/>
        <item h="1" x="23"/>
        <item h="1" x="7"/>
        <item h="1" x="53"/>
        <item h="1" x="47"/>
        <item h="1" x="33"/>
        <item h="1" x="2"/>
        <item h="1" x="0"/>
        <item h="1" x="49"/>
        <item h="1" x="5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5">
        <item x="1"/>
        <item x="3"/>
        <item x="2"/>
        <item x="0"/>
        <item t="default"/>
      </items>
    </pivotField>
  </pivotFields>
  <rowFields count="1">
    <field x="0"/>
  </rowFields>
  <rowItems count="2">
    <i>
      <x v="11"/>
    </i>
    <i t="grand">
      <x/>
    </i>
  </rowItems>
  <colItems count="1">
    <i/>
  </colItems>
  <dataFields count="1">
    <dataField name="Sum of Government Strateg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8AB32D-C50D-4813-92C1-9ADC6C95D0E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13">
    <pivotField showAll="0"/>
    <pivotField showAll="0"/>
    <pivotField dataField="1" showAll="0"/>
    <pivotField showAll="0"/>
    <pivotField showAll="0"/>
    <pivotField showAll="0"/>
    <pivotField showAll="0"/>
    <pivotField showAll="0">
      <items count="61">
        <item h="1" x="45"/>
        <item h="1" x="56"/>
        <item x="54"/>
        <item h="1" x="52"/>
        <item h="1" x="49"/>
        <item h="1" x="58"/>
        <item h="1" x="50"/>
        <item h="1" x="57"/>
        <item h="1" x="44"/>
        <item h="1" x="48"/>
        <item h="1" x="47"/>
        <item h="1" x="27"/>
        <item h="1" x="41"/>
        <item h="1" x="39"/>
        <item h="1" x="42"/>
        <item h="1" x="51"/>
        <item h="1" x="38"/>
        <item h="1" x="46"/>
        <item h="1" x="40"/>
        <item h="1" x="37"/>
        <item h="1" x="55"/>
        <item h="1" x="30"/>
        <item h="1" x="34"/>
        <item h="1" x="36"/>
        <item h="1" x="53"/>
        <item h="1" x="33"/>
        <item h="1" x="26"/>
        <item h="1" x="28"/>
        <item h="1" x="22"/>
        <item h="1" x="29"/>
        <item h="1" x="43"/>
        <item h="1" x="20"/>
        <item h="1" x="32"/>
        <item h="1" x="13"/>
        <item h="1" x="11"/>
        <item h="1" x="23"/>
        <item h="1" x="31"/>
        <item h="1" x="18"/>
        <item h="1" x="12"/>
        <item h="1" x="14"/>
        <item h="1" x="24"/>
        <item h="1" x="7"/>
        <item h="1" x="19"/>
        <item h="1" x="25"/>
        <item h="1" x="6"/>
        <item h="1" x="35"/>
        <item h="1" x="10"/>
        <item h="1" x="15"/>
        <item h="1" x="16"/>
        <item h="1" x="9"/>
        <item h="1" x="17"/>
        <item h="1" x="8"/>
        <item h="1" x="21"/>
        <item h="1" x="3"/>
        <item h="1" x="5"/>
        <item h="1" x="2"/>
        <item h="1" x="4"/>
        <item h="1" x="1"/>
        <item h="1" x="0"/>
        <item h="1" x="59"/>
        <item t="default"/>
      </items>
    </pivotField>
    <pivotField showAll="0"/>
    <pivotField showAll="0">
      <items count="7">
        <item x="4"/>
        <item x="0"/>
        <item x="1"/>
        <item x="2"/>
        <item x="3"/>
        <item x="5"/>
        <item t="default"/>
      </items>
    </pivotField>
    <pivotField axis="axisRow" showAll="0">
      <items count="7">
        <item x="4"/>
        <item x="0"/>
        <item x="2"/>
        <item x="1"/>
        <item x="3"/>
        <item x="5"/>
        <item t="default"/>
      </items>
    </pivotField>
    <pivotField showAll="0"/>
    <pivotField showAll="0"/>
  </pivotFields>
  <rowFields count="1">
    <field x="10"/>
  </rowFields>
  <rowItems count="7">
    <i>
      <x/>
    </i>
    <i>
      <x v="1"/>
    </i>
    <i>
      <x v="2"/>
    </i>
    <i>
      <x v="3"/>
    </i>
    <i>
      <x v="4"/>
    </i>
    <i>
      <x v="5"/>
    </i>
    <i t="grand">
      <x/>
    </i>
  </rowItems>
  <colItems count="1">
    <i/>
  </colItems>
  <dataFields count="1">
    <dataField name="Sum of Infrastructure" fld="2" baseField="0" baseItem="0"/>
  </dataFields>
  <chartFormats count="1">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23A88-68AF-43CE-A315-83B6A2D9484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 firstHeaderRow="0" firstDataRow="1" firstDataCol="0"/>
  <pivotFields count="13">
    <pivotField showAll="0">
      <items count="64">
        <item x="45"/>
        <item x="56"/>
        <item x="10"/>
        <item x="21"/>
        <item x="50"/>
        <item x="26"/>
        <item x="38"/>
        <item x="3"/>
        <item x="44"/>
        <item x="1"/>
        <item x="48"/>
        <item x="35"/>
        <item x="13"/>
        <item x="58"/>
        <item x="22"/>
        <item x="12"/>
        <item x="9"/>
        <item x="8"/>
        <item x="39"/>
        <item x="19"/>
        <item x="41"/>
        <item x="36"/>
        <item x="16"/>
        <item x="52"/>
        <item x="11"/>
        <item x="4"/>
        <item x="30"/>
        <item x="15"/>
        <item x="59"/>
        <item x="37"/>
        <item x="14"/>
        <item x="42"/>
        <item x="32"/>
        <item x="43"/>
        <item x="55"/>
        <item x="29"/>
        <item x="60"/>
        <item x="24"/>
        <item x="61"/>
        <item x="27"/>
        <item x="34"/>
        <item x="46"/>
        <item x="31"/>
        <item x="25"/>
        <item x="5"/>
        <item x="40"/>
        <item x="28"/>
        <item x="54"/>
        <item x="6"/>
        <item x="20"/>
        <item x="57"/>
        <item x="18"/>
        <item x="17"/>
        <item x="23"/>
        <item x="7"/>
        <item x="53"/>
        <item x="47"/>
        <item x="33"/>
        <item x="2"/>
        <item x="0"/>
        <item x="49"/>
        <item x="51"/>
        <item x="62"/>
        <item t="default"/>
      </items>
    </pivotField>
    <pivotField dataField="1" showAll="0"/>
    <pivotField showAll="0"/>
    <pivotField showAll="0"/>
    <pivotField showAll="0"/>
    <pivotField showAll="0"/>
    <pivotField showAll="0"/>
    <pivotField showAll="0">
      <items count="61">
        <item h="1" x="45"/>
        <item h="1" x="56"/>
        <item x="54"/>
        <item h="1" x="52"/>
        <item h="1" x="49"/>
        <item h="1" x="58"/>
        <item h="1" x="50"/>
        <item h="1" x="57"/>
        <item h="1" x="44"/>
        <item h="1" x="48"/>
        <item h="1" x="47"/>
        <item h="1" x="27"/>
        <item h="1" x="41"/>
        <item h="1" x="39"/>
        <item h="1" x="42"/>
        <item h="1" x="51"/>
        <item h="1" x="38"/>
        <item h="1" x="46"/>
        <item h="1" x="40"/>
        <item h="1" x="37"/>
        <item h="1" x="55"/>
        <item h="1" x="30"/>
        <item h="1" x="34"/>
        <item h="1" x="36"/>
        <item h="1" x="53"/>
        <item h="1" x="33"/>
        <item h="1" x="26"/>
        <item h="1" x="28"/>
        <item h="1" x="22"/>
        <item h="1" x="29"/>
        <item h="1" x="43"/>
        <item h="1" x="20"/>
        <item h="1" x="32"/>
        <item h="1" x="13"/>
        <item h="1" x="11"/>
        <item h="1" x="23"/>
        <item h="1" x="31"/>
        <item h="1" x="18"/>
        <item h="1" x="12"/>
        <item h="1" x="14"/>
        <item h="1" x="24"/>
        <item h="1" x="7"/>
        <item h="1" x="19"/>
        <item h="1" x="25"/>
        <item h="1" x="6"/>
        <item h="1" x="35"/>
        <item h="1" x="10"/>
        <item h="1" x="15"/>
        <item h="1" x="16"/>
        <item h="1" x="9"/>
        <item h="1" x="17"/>
        <item h="1" x="8"/>
        <item h="1" x="21"/>
        <item h="1" x="3"/>
        <item h="1" x="5"/>
        <item h="1" x="2"/>
        <item h="1" x="4"/>
        <item h="1" x="1"/>
        <item h="1" x="0"/>
        <item h="1" x="59"/>
        <item t="default"/>
      </items>
    </pivotField>
    <pivotField dataField="1" showAll="0"/>
    <pivotField showAll="0">
      <items count="7">
        <item x="4"/>
        <item x="0"/>
        <item x="1"/>
        <item x="2"/>
        <item x="3"/>
        <item x="5"/>
        <item t="default"/>
      </items>
    </pivotField>
    <pivotField showAll="0">
      <items count="7">
        <item x="4"/>
        <item x="0"/>
        <item x="2"/>
        <item x="1"/>
        <item x="3"/>
        <item x="5"/>
        <item t="default"/>
      </items>
    </pivotField>
    <pivotField showAll="0">
      <items count="5">
        <item x="0"/>
        <item x="2"/>
        <item x="1"/>
        <item x="3"/>
        <item t="default"/>
      </items>
    </pivotField>
    <pivotField showAll="0">
      <items count="6">
        <item x="1"/>
        <item x="3"/>
        <item x="2"/>
        <item x="0"/>
        <item x="4"/>
        <item t="default"/>
      </items>
    </pivotField>
  </pivotFields>
  <rowItems count="1">
    <i/>
  </rowItems>
  <colFields count="1">
    <field x="-2"/>
  </colFields>
  <colItems count="2">
    <i>
      <x/>
    </i>
    <i i="1">
      <x v="1"/>
    </i>
  </colItems>
  <dataFields count="2">
    <dataField name="Sum of Talent" fld="1" baseField="0" baseItem="0"/>
    <dataField name="Sum of Total scor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2D47C2-DDB5-4C2B-BDA9-C031B688316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3">
    <pivotField showAll="0">
      <items count="64">
        <item x="45"/>
        <item x="56"/>
        <item x="10"/>
        <item x="21"/>
        <item x="50"/>
        <item x="26"/>
        <item x="38"/>
        <item x="3"/>
        <item x="44"/>
        <item x="1"/>
        <item x="48"/>
        <item x="35"/>
        <item x="13"/>
        <item x="58"/>
        <item x="22"/>
        <item x="12"/>
        <item x="9"/>
        <item x="8"/>
        <item x="39"/>
        <item x="19"/>
        <item x="41"/>
        <item x="36"/>
        <item x="16"/>
        <item x="52"/>
        <item x="11"/>
        <item x="4"/>
        <item x="30"/>
        <item x="15"/>
        <item x="59"/>
        <item x="37"/>
        <item x="14"/>
        <item x="42"/>
        <item x="32"/>
        <item x="43"/>
        <item x="55"/>
        <item x="29"/>
        <item x="60"/>
        <item x="24"/>
        <item x="61"/>
        <item x="27"/>
        <item x="34"/>
        <item x="46"/>
        <item x="31"/>
        <item x="25"/>
        <item x="5"/>
        <item x="40"/>
        <item x="28"/>
        <item x="54"/>
        <item x="6"/>
        <item x="20"/>
        <item x="57"/>
        <item x="18"/>
        <item x="17"/>
        <item x="23"/>
        <item x="7"/>
        <item x="53"/>
        <item x="47"/>
        <item x="33"/>
        <item x="2"/>
        <item x="0"/>
        <item x="49"/>
        <item x="51"/>
        <item x="62"/>
        <item t="default"/>
      </items>
    </pivotField>
    <pivotField showAll="0"/>
    <pivotField showAll="0"/>
    <pivotField showAll="0"/>
    <pivotField showAll="0"/>
    <pivotField dataField="1" showAll="0"/>
    <pivotField showAll="0"/>
    <pivotField showAll="0">
      <items count="61">
        <item h="1" x="45"/>
        <item h="1" x="56"/>
        <item x="54"/>
        <item h="1" x="52"/>
        <item h="1" x="49"/>
        <item h="1" x="58"/>
        <item h="1" x="50"/>
        <item h="1" x="57"/>
        <item h="1" x="44"/>
        <item h="1" x="48"/>
        <item h="1" x="47"/>
        <item h="1" x="27"/>
        <item h="1" x="41"/>
        <item h="1" x="39"/>
        <item h="1" x="42"/>
        <item h="1" x="51"/>
        <item h="1" x="38"/>
        <item h="1" x="46"/>
        <item h="1" x="40"/>
        <item h="1" x="37"/>
        <item h="1" x="55"/>
        <item h="1" x="30"/>
        <item h="1" x="34"/>
        <item h="1" x="36"/>
        <item h="1" x="53"/>
        <item h="1" x="33"/>
        <item h="1" x="26"/>
        <item h="1" x="28"/>
        <item h="1" x="22"/>
        <item h="1" x="29"/>
        <item h="1" x="43"/>
        <item h="1" x="20"/>
        <item h="1" x="32"/>
        <item h="1" x="13"/>
        <item h="1" x="11"/>
        <item h="1" x="23"/>
        <item h="1" x="31"/>
        <item h="1" x="18"/>
        <item h="1" x="12"/>
        <item h="1" x="14"/>
        <item h="1" x="24"/>
        <item h="1" x="7"/>
        <item h="1" x="19"/>
        <item h="1" x="25"/>
        <item h="1" x="6"/>
        <item h="1" x="35"/>
        <item h="1" x="10"/>
        <item h="1" x="15"/>
        <item h="1" x="16"/>
        <item h="1" x="9"/>
        <item h="1" x="17"/>
        <item h="1" x="8"/>
        <item h="1" x="21"/>
        <item h="1" x="3"/>
        <item h="1" x="5"/>
        <item h="1" x="2"/>
        <item h="1" x="4"/>
        <item h="1" x="1"/>
        <item h="1" x="0"/>
        <item h="1" x="59"/>
        <item t="default"/>
      </items>
    </pivotField>
    <pivotField showAll="0"/>
    <pivotField axis="axisRow" showAll="0">
      <items count="7">
        <item x="4"/>
        <item x="0"/>
        <item x="1"/>
        <item x="2"/>
        <item x="3"/>
        <item x="5"/>
        <item t="default"/>
      </items>
    </pivotField>
    <pivotField showAll="0">
      <items count="7">
        <item x="4"/>
        <item x="0"/>
        <item x="2"/>
        <item x="1"/>
        <item x="3"/>
        <item x="5"/>
        <item t="default"/>
      </items>
    </pivotField>
    <pivotField showAll="0">
      <items count="5">
        <item x="0"/>
        <item x="2"/>
        <item x="1"/>
        <item x="3"/>
        <item t="default"/>
      </items>
    </pivotField>
    <pivotField showAll="0">
      <items count="6">
        <item x="1"/>
        <item x="3"/>
        <item x="2"/>
        <item x="0"/>
        <item x="4"/>
        <item t="default"/>
      </items>
    </pivotField>
  </pivotFields>
  <rowFields count="1">
    <field x="9"/>
  </rowFields>
  <rowItems count="7">
    <i>
      <x/>
    </i>
    <i>
      <x v="1"/>
    </i>
    <i>
      <x v="2"/>
    </i>
    <i>
      <x v="3"/>
    </i>
    <i>
      <x v="4"/>
    </i>
    <i>
      <x v="5"/>
    </i>
    <i t="grand">
      <x/>
    </i>
  </rowItems>
  <colItems count="1">
    <i/>
  </colItems>
  <dataFields count="1">
    <dataField name="Sum of Development" fld="5" baseField="0" baseItem="0"/>
  </dataFields>
  <chartFormats count="2">
    <chartFormat chart="0" format="24" series="1">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F9BBE-B0BC-48CD-BE81-550CA675DD4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3">
    <pivotField showAll="0"/>
    <pivotField showAll="0"/>
    <pivotField showAll="0"/>
    <pivotField showAll="0"/>
    <pivotField showAll="0"/>
    <pivotField showAll="0"/>
    <pivotField showAll="0"/>
    <pivotField showAll="0">
      <items count="61">
        <item h="1" x="45"/>
        <item h="1" x="56"/>
        <item x="54"/>
        <item h="1" x="52"/>
        <item h="1" x="49"/>
        <item h="1" x="58"/>
        <item h="1" x="50"/>
        <item h="1" x="57"/>
        <item h="1" x="44"/>
        <item h="1" x="48"/>
        <item h="1" x="47"/>
        <item h="1" x="27"/>
        <item h="1" x="41"/>
        <item h="1" x="39"/>
        <item h="1" x="42"/>
        <item h="1" x="51"/>
        <item h="1" x="38"/>
        <item h="1" x="46"/>
        <item h="1" x="40"/>
        <item h="1" x="37"/>
        <item h="1" x="55"/>
        <item h="1" x="30"/>
        <item h="1" x="34"/>
        <item h="1" x="36"/>
        <item h="1" x="53"/>
        <item h="1" x="33"/>
        <item h="1" x="26"/>
        <item h="1" x="28"/>
        <item h="1" x="22"/>
        <item h="1" x="29"/>
        <item h="1" x="43"/>
        <item h="1" x="20"/>
        <item h="1" x="32"/>
        <item h="1" x="13"/>
        <item h="1" x="11"/>
        <item h="1" x="23"/>
        <item h="1" x="31"/>
        <item h="1" x="18"/>
        <item h="1" x="12"/>
        <item h="1" x="14"/>
        <item h="1" x="24"/>
        <item h="1" x="7"/>
        <item h="1" x="19"/>
        <item h="1" x="25"/>
        <item h="1" x="6"/>
        <item h="1" x="35"/>
        <item h="1" x="10"/>
        <item h="1" x="15"/>
        <item h="1" x="16"/>
        <item h="1" x="9"/>
        <item h="1" x="17"/>
        <item h="1" x="8"/>
        <item h="1" x="21"/>
        <item h="1" x="3"/>
        <item h="1" x="5"/>
        <item h="1" x="2"/>
        <item h="1" x="4"/>
        <item h="1" x="1"/>
        <item h="1" x="0"/>
        <item h="1" x="59"/>
        <item t="default"/>
      </items>
    </pivotField>
    <pivotField dataField="1" showAll="0"/>
    <pivotField showAll="0"/>
    <pivotField showAll="0"/>
    <pivotField axis="axisRow" showAll="0">
      <items count="5">
        <item x="0"/>
        <item x="2"/>
        <item x="1"/>
        <item x="3"/>
        <item t="default"/>
      </items>
    </pivotField>
    <pivotField showAll="0"/>
  </pivotFields>
  <rowFields count="1">
    <field x="11"/>
  </rowFields>
  <rowItems count="5">
    <i>
      <x/>
    </i>
    <i>
      <x v="1"/>
    </i>
    <i>
      <x v="2"/>
    </i>
    <i>
      <x v="3"/>
    </i>
    <i t="grand">
      <x/>
    </i>
  </rowItems>
  <colItems count="1">
    <i/>
  </colItems>
  <dataFields count="1">
    <dataField name="Sum of Total score" fld="8"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2" format="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B4586-40FE-45FB-A7BD-1C6FDF128B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 firstHeaderRow="0" firstDataRow="1" firstDataCol="0"/>
  <pivotFields count="13">
    <pivotField showAll="0"/>
    <pivotField dataField="1" showAll="0"/>
    <pivotField showAll="0"/>
    <pivotField dataField="1" showAll="0"/>
    <pivotField showAll="0"/>
    <pivotField showAll="0"/>
    <pivotField showAll="0"/>
    <pivotField showAll="0">
      <items count="61">
        <item h="1" x="45"/>
        <item h="1" x="56"/>
        <item x="54"/>
        <item h="1" x="52"/>
        <item h="1" x="49"/>
        <item h="1" x="58"/>
        <item h="1" x="50"/>
        <item h="1" x="57"/>
        <item h="1" x="44"/>
        <item h="1" x="48"/>
        <item h="1" x="47"/>
        <item h="1" x="27"/>
        <item h="1" x="41"/>
        <item h="1" x="39"/>
        <item h="1" x="42"/>
        <item h="1" x="51"/>
        <item h="1" x="38"/>
        <item h="1" x="46"/>
        <item h="1" x="40"/>
        <item h="1" x="37"/>
        <item h="1" x="55"/>
        <item h="1" x="30"/>
        <item h="1" x="34"/>
        <item h="1" x="36"/>
        <item h="1" x="53"/>
        <item h="1" x="33"/>
        <item h="1" x="26"/>
        <item h="1" x="28"/>
        <item h="1" x="22"/>
        <item h="1" x="29"/>
        <item h="1" x="43"/>
        <item h="1" x="20"/>
        <item h="1" x="32"/>
        <item h="1" x="13"/>
        <item h="1" x="11"/>
        <item h="1" x="23"/>
        <item h="1" x="31"/>
        <item h="1" x="18"/>
        <item h="1" x="12"/>
        <item h="1" x="14"/>
        <item h="1" x="24"/>
        <item h="1" x="7"/>
        <item h="1" x="19"/>
        <item h="1" x="25"/>
        <item h="1" x="6"/>
        <item h="1" x="35"/>
        <item h="1" x="10"/>
        <item h="1" x="15"/>
        <item h="1" x="16"/>
        <item h="1" x="9"/>
        <item h="1" x="17"/>
        <item h="1" x="8"/>
        <item h="1" x="21"/>
        <item h="1" x="3"/>
        <item h="1" x="5"/>
        <item h="1" x="2"/>
        <item h="1" x="4"/>
        <item h="1" x="1"/>
        <item h="1" x="0"/>
        <item h="1" x="59"/>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Talent" fld="1" baseField="0" baseItem="0"/>
    <dataField name="Sum of Operating Environmen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87EDF8-8419-4D0E-B5B0-3DB9C2DC8A0E}" sourceName="Country">
  <data>
    <tabular pivotCacheId="301566611">
      <items count="62">
        <i x="45"/>
        <i x="56"/>
        <i x="10"/>
        <i x="21"/>
        <i x="50"/>
        <i x="26"/>
        <i x="38"/>
        <i x="3"/>
        <i x="44"/>
        <i x="1"/>
        <i x="48"/>
        <i x="35" s="1"/>
        <i x="13"/>
        <i x="58"/>
        <i x="22"/>
        <i x="12"/>
        <i x="9"/>
        <i x="8"/>
        <i x="39"/>
        <i x="19"/>
        <i x="41"/>
        <i x="36"/>
        <i x="16"/>
        <i x="52"/>
        <i x="11"/>
        <i x="4"/>
        <i x="30"/>
        <i x="15"/>
        <i x="59"/>
        <i x="37"/>
        <i x="14"/>
        <i x="42"/>
        <i x="32"/>
        <i x="43"/>
        <i x="55"/>
        <i x="29"/>
        <i x="60"/>
        <i x="24"/>
        <i x="61"/>
        <i x="27"/>
        <i x="34"/>
        <i x="46"/>
        <i x="31"/>
        <i x="25"/>
        <i x="5"/>
        <i x="40"/>
        <i x="28"/>
        <i x="54"/>
        <i x="6"/>
        <i x="20"/>
        <i x="57"/>
        <i x="18"/>
        <i x="17"/>
        <i x="23"/>
        <i x="7"/>
        <i x="53"/>
        <i x="47"/>
        <i x="33"/>
        <i x="2"/>
        <i x="0"/>
        <i x="49"/>
        <i x="5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ercial" xr10:uid="{47CB62AC-E592-4524-8904-42ABA4F461E8}" sourceName="Commercial">
  <data>
    <tabular pivotCacheId="656588410">
      <items count="60">
        <i x="45"/>
        <i x="56"/>
        <i x="54" s="1"/>
        <i x="52"/>
        <i x="49"/>
        <i x="58"/>
        <i x="50"/>
        <i x="57"/>
        <i x="44"/>
        <i x="48"/>
        <i x="47"/>
        <i x="27"/>
        <i x="41"/>
        <i x="39"/>
        <i x="42"/>
        <i x="51"/>
        <i x="38"/>
        <i x="46"/>
        <i x="40"/>
        <i x="37"/>
        <i x="55"/>
        <i x="30"/>
        <i x="34"/>
        <i x="36"/>
        <i x="53"/>
        <i x="33"/>
        <i x="26"/>
        <i x="28"/>
        <i x="22"/>
        <i x="29"/>
        <i x="43"/>
        <i x="20"/>
        <i x="32"/>
        <i x="13"/>
        <i x="11"/>
        <i x="23"/>
        <i x="31"/>
        <i x="18"/>
        <i x="12"/>
        <i x="14"/>
        <i x="24"/>
        <i x="7"/>
        <i x="19"/>
        <i x="25"/>
        <i x="6"/>
        <i x="35"/>
        <i x="10"/>
        <i x="15"/>
        <i x="16"/>
        <i x="9"/>
        <i x="17"/>
        <i x="8"/>
        <i x="21"/>
        <i x="3"/>
        <i x="5"/>
        <i x="2"/>
        <i x="4"/>
        <i x="1"/>
        <i x="0"/>
        <i x="5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2484F1E-A5F5-4B35-924B-0AD16C4E38B7}" cache="Slicer_Country" caption="Country" startItem="10" style="SlicerStyleOther2" rowHeight="234950"/>
  <slicer name="Commercial" xr10:uid="{F51DFE56-D16B-4BFB-B1C6-DBF94A648D9E}" cache="Slicer_Commercial" caption="Commercial" startItem="45"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51A3B-53EC-419F-94D8-92B10D527A99}">
  <dimension ref="A3:B5"/>
  <sheetViews>
    <sheetView workbookViewId="0">
      <selection activeCell="Q43" sqref="Q43"/>
    </sheetView>
  </sheetViews>
  <sheetFormatPr defaultRowHeight="14.4" x14ac:dyDescent="0.3"/>
  <cols>
    <col min="1" max="1" width="13.21875" bestFit="1" customWidth="1"/>
    <col min="2" max="2" width="25.88671875" bestFit="1" customWidth="1"/>
  </cols>
  <sheetData>
    <row r="3" spans="1:2" x14ac:dyDescent="0.3">
      <c r="A3" s="1" t="s">
        <v>92</v>
      </c>
      <c r="B3" t="s">
        <v>96</v>
      </c>
    </row>
    <row r="4" spans="1:2" x14ac:dyDescent="0.3">
      <c r="A4" s="2" t="s">
        <v>63</v>
      </c>
      <c r="B4" s="3">
        <v>70.290000000000006</v>
      </c>
    </row>
    <row r="5" spans="1:2" x14ac:dyDescent="0.3">
      <c r="A5" s="2" t="s">
        <v>93</v>
      </c>
      <c r="B5" s="3">
        <v>70.290000000000006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19AB-49F1-4FD2-BEF8-70CF512C3441}">
  <dimension ref="A1"/>
  <sheetViews>
    <sheetView tabSelected="1" workbookViewId="0">
      <selection activeCell="Q43" sqref="Q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ACBA-9B11-4B14-9B5D-EF343414F178}">
  <dimension ref="A1:B8"/>
  <sheetViews>
    <sheetView workbookViewId="0"/>
  </sheetViews>
  <sheetFormatPr defaultRowHeight="14.4" x14ac:dyDescent="0.3"/>
  <cols>
    <col min="1" max="2" width="19.21875" bestFit="1" customWidth="1"/>
  </cols>
  <sheetData>
    <row r="1" spans="1:2" x14ac:dyDescent="0.3">
      <c r="A1" s="1" t="s">
        <v>92</v>
      </c>
      <c r="B1" t="s">
        <v>95</v>
      </c>
    </row>
    <row r="2" spans="1:2" x14ac:dyDescent="0.3">
      <c r="A2" s="2" t="s">
        <v>87</v>
      </c>
      <c r="B2" s="3">
        <v>90.02000000000001</v>
      </c>
    </row>
    <row r="3" spans="1:2" x14ac:dyDescent="0.3">
      <c r="A3" s="2" t="s">
        <v>15</v>
      </c>
      <c r="B3" s="3">
        <v>194.01999999999998</v>
      </c>
    </row>
    <row r="4" spans="1:2" x14ac:dyDescent="0.3">
      <c r="A4" s="2" t="s">
        <v>28</v>
      </c>
      <c r="B4" s="3">
        <v>854.04</v>
      </c>
    </row>
    <row r="5" spans="1:2" x14ac:dyDescent="0.3">
      <c r="A5" s="2" t="s">
        <v>24</v>
      </c>
      <c r="B5" s="3">
        <v>302.85000000000002</v>
      </c>
    </row>
    <row r="6" spans="1:2" x14ac:dyDescent="0.3">
      <c r="A6" s="2" t="s">
        <v>40</v>
      </c>
      <c r="B6" s="3">
        <v>2496.3000000000006</v>
      </c>
    </row>
    <row r="7" spans="1:2" x14ac:dyDescent="0.3">
      <c r="A7" s="2" t="s">
        <v>100</v>
      </c>
      <c r="B7" s="3"/>
    </row>
    <row r="8" spans="1:2" x14ac:dyDescent="0.3">
      <c r="A8" s="2" t="s">
        <v>93</v>
      </c>
      <c r="B8" s="3">
        <v>3937.2300000000005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1C50-60B8-44D5-8E64-5FCFED12E4B9}">
  <dimension ref="A1:B2"/>
  <sheetViews>
    <sheetView workbookViewId="0"/>
  </sheetViews>
  <sheetFormatPr defaultRowHeight="14.4" x14ac:dyDescent="0.3"/>
  <cols>
    <col min="1" max="1" width="12.6640625" bestFit="1" customWidth="1"/>
    <col min="2" max="2" width="16.6640625" bestFit="1" customWidth="1"/>
  </cols>
  <sheetData>
    <row r="1" spans="1:2" x14ac:dyDescent="0.3">
      <c r="A1" t="s">
        <v>94</v>
      </c>
      <c r="B1" t="s">
        <v>98</v>
      </c>
    </row>
    <row r="2" spans="1:2" x14ac:dyDescent="0.3">
      <c r="A2" s="3">
        <v>1041.7900000000002</v>
      </c>
      <c r="B2" s="3">
        <v>1482.71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27900-A4F8-4FCB-96BE-EE9BAD07D497}">
  <dimension ref="A1:B8"/>
  <sheetViews>
    <sheetView workbookViewId="0">
      <selection activeCell="Q43" sqref="Q43"/>
    </sheetView>
  </sheetViews>
  <sheetFormatPr defaultRowHeight="14.4" x14ac:dyDescent="0.3"/>
  <cols>
    <col min="1" max="1" width="12.5546875" bestFit="1" customWidth="1"/>
    <col min="2" max="2" width="19" bestFit="1" customWidth="1"/>
  </cols>
  <sheetData>
    <row r="1" spans="1:2" x14ac:dyDescent="0.3">
      <c r="A1" s="1" t="s">
        <v>92</v>
      </c>
      <c r="B1" t="s">
        <v>97</v>
      </c>
    </row>
    <row r="2" spans="1:2" x14ac:dyDescent="0.3">
      <c r="A2" s="2" t="s">
        <v>82</v>
      </c>
      <c r="B2" s="3">
        <v>21.779999999999998</v>
      </c>
    </row>
    <row r="3" spans="1:2" x14ac:dyDescent="0.3">
      <c r="A3" s="2" t="s">
        <v>14</v>
      </c>
      <c r="B3" s="3">
        <v>140.31999999999996</v>
      </c>
    </row>
    <row r="4" spans="1:2" x14ac:dyDescent="0.3">
      <c r="A4" s="2" t="s">
        <v>19</v>
      </c>
      <c r="B4" s="3">
        <v>327.56999999999994</v>
      </c>
    </row>
    <row r="5" spans="1:2" x14ac:dyDescent="0.3">
      <c r="A5" s="2" t="s">
        <v>23</v>
      </c>
      <c r="B5" s="3">
        <v>370.04999999999995</v>
      </c>
    </row>
    <row r="6" spans="1:2" x14ac:dyDescent="0.3">
      <c r="A6" s="2" t="s">
        <v>27</v>
      </c>
      <c r="B6" s="3">
        <v>59.410000000000004</v>
      </c>
    </row>
    <row r="7" spans="1:2" x14ac:dyDescent="0.3">
      <c r="A7" s="2" t="s">
        <v>100</v>
      </c>
      <c r="B7" s="3"/>
    </row>
    <row r="8" spans="1:2" x14ac:dyDescent="0.3">
      <c r="A8" s="2" t="s">
        <v>93</v>
      </c>
      <c r="B8" s="3">
        <v>919.12999999999977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1429-68CB-4D48-85C3-C04094DC1E09}">
  <dimension ref="A1:B6"/>
  <sheetViews>
    <sheetView workbookViewId="0">
      <selection activeCell="I28" sqref="I28"/>
    </sheetView>
  </sheetViews>
  <sheetFormatPr defaultRowHeight="14.4" x14ac:dyDescent="0.3"/>
  <cols>
    <col min="1" max="1" width="12.5546875" bestFit="1" customWidth="1"/>
    <col min="2" max="2" width="16.6640625" bestFit="1" customWidth="1"/>
  </cols>
  <sheetData>
    <row r="1" spans="1:2" x14ac:dyDescent="0.3">
      <c r="A1" s="1" t="s">
        <v>92</v>
      </c>
      <c r="B1" t="s">
        <v>98</v>
      </c>
    </row>
    <row r="2" spans="1:2" x14ac:dyDescent="0.3">
      <c r="A2" s="2" t="s">
        <v>16</v>
      </c>
      <c r="B2" s="3">
        <v>1212.1600000000001</v>
      </c>
    </row>
    <row r="3" spans="1:2" x14ac:dyDescent="0.3">
      <c r="A3" s="2" t="s">
        <v>43</v>
      </c>
      <c r="B3" s="3">
        <v>87.32</v>
      </c>
    </row>
    <row r="4" spans="1:2" x14ac:dyDescent="0.3">
      <c r="A4" s="2" t="s">
        <v>20</v>
      </c>
      <c r="B4" s="3">
        <v>183.23000000000002</v>
      </c>
    </row>
    <row r="5" spans="1:2" x14ac:dyDescent="0.3">
      <c r="A5" s="2" t="s">
        <v>100</v>
      </c>
      <c r="B5" s="3"/>
    </row>
    <row r="6" spans="1:2" x14ac:dyDescent="0.3">
      <c r="A6" s="2" t="s">
        <v>93</v>
      </c>
      <c r="B6" s="3">
        <v>1482.71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3378-A1DB-4AFC-8B59-2B576257131A}">
  <dimension ref="A3:B4"/>
  <sheetViews>
    <sheetView workbookViewId="0">
      <selection activeCell="A3" sqref="A3"/>
    </sheetView>
  </sheetViews>
  <sheetFormatPr defaultRowHeight="14.4" x14ac:dyDescent="0.3"/>
  <cols>
    <col min="1" max="1" width="12.6640625" bestFit="1" customWidth="1"/>
    <col min="2" max="2" width="27.5546875" bestFit="1" customWidth="1"/>
  </cols>
  <sheetData>
    <row r="3" spans="1:2" x14ac:dyDescent="0.3">
      <c r="A3" t="s">
        <v>94</v>
      </c>
      <c r="B3" t="s">
        <v>99</v>
      </c>
    </row>
    <row r="4" spans="1:2" x14ac:dyDescent="0.3">
      <c r="A4" s="3">
        <v>1041.7900000000002</v>
      </c>
      <c r="B4" s="3">
        <v>4149.38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E7A1-6DDC-422A-B4E6-D69FB0CDF22A}">
  <dimension ref="A1:P63"/>
  <sheetViews>
    <sheetView workbookViewId="0">
      <selection sqref="A1:A63"/>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row>
    <row r="2" spans="1:16" x14ac:dyDescent="0.3">
      <c r="A2" t="s">
        <v>13</v>
      </c>
      <c r="B2">
        <v>100</v>
      </c>
      <c r="C2">
        <v>94.02</v>
      </c>
      <c r="D2">
        <v>64.56</v>
      </c>
      <c r="E2">
        <v>100</v>
      </c>
      <c r="F2">
        <v>100</v>
      </c>
      <c r="G2">
        <v>77.39</v>
      </c>
      <c r="H2">
        <v>100</v>
      </c>
      <c r="I2">
        <v>100</v>
      </c>
      <c r="J2" t="s">
        <v>14</v>
      </c>
      <c r="K2" t="s">
        <v>15</v>
      </c>
      <c r="L2" t="s">
        <v>16</v>
      </c>
      <c r="M2" t="s">
        <v>17</v>
      </c>
    </row>
    <row r="3" spans="1:16" x14ac:dyDescent="0.3">
      <c r="A3" t="s">
        <v>18</v>
      </c>
      <c r="B3">
        <v>16.510000000000002</v>
      </c>
      <c r="C3">
        <v>100</v>
      </c>
      <c r="D3">
        <v>91.57</v>
      </c>
      <c r="E3">
        <v>71.42</v>
      </c>
      <c r="F3">
        <v>79.97</v>
      </c>
      <c r="G3">
        <v>94.87</v>
      </c>
      <c r="H3">
        <v>44.02</v>
      </c>
      <c r="I3">
        <v>62.92</v>
      </c>
      <c r="J3" t="s">
        <v>19</v>
      </c>
      <c r="K3" t="s">
        <v>15</v>
      </c>
      <c r="L3" t="s">
        <v>20</v>
      </c>
      <c r="M3" t="s">
        <v>21</v>
      </c>
    </row>
    <row r="4" spans="1:16" x14ac:dyDescent="0.3">
      <c r="A4" t="s">
        <v>22</v>
      </c>
      <c r="B4">
        <v>39.65</v>
      </c>
      <c r="C4">
        <v>71.430000000000007</v>
      </c>
      <c r="D4">
        <v>74.650000000000006</v>
      </c>
      <c r="E4">
        <v>36.5</v>
      </c>
      <c r="F4">
        <v>25.03</v>
      </c>
      <c r="G4">
        <v>82.82</v>
      </c>
      <c r="H4">
        <v>18.91</v>
      </c>
      <c r="I4">
        <v>40.93</v>
      </c>
      <c r="J4" t="s">
        <v>23</v>
      </c>
      <c r="K4" t="s">
        <v>24</v>
      </c>
      <c r="L4" t="s">
        <v>16</v>
      </c>
      <c r="M4" t="s">
        <v>17</v>
      </c>
      <c r="P4">
        <f>SUM(H2:H63)</f>
        <v>382.65999999999985</v>
      </c>
    </row>
    <row r="5" spans="1:16" x14ac:dyDescent="0.3">
      <c r="A5" t="s">
        <v>25</v>
      </c>
      <c r="B5">
        <v>31.28</v>
      </c>
      <c r="C5">
        <v>77.05</v>
      </c>
      <c r="D5">
        <v>93.94</v>
      </c>
      <c r="E5">
        <v>30.67</v>
      </c>
      <c r="F5">
        <v>25.78</v>
      </c>
      <c r="G5">
        <v>100</v>
      </c>
      <c r="H5">
        <v>14.88</v>
      </c>
      <c r="I5">
        <v>40.19</v>
      </c>
      <c r="J5" t="s">
        <v>14</v>
      </c>
      <c r="K5" t="s">
        <v>24</v>
      </c>
      <c r="L5" t="s">
        <v>16</v>
      </c>
      <c r="M5" t="s">
        <v>17</v>
      </c>
    </row>
    <row r="6" spans="1:16" x14ac:dyDescent="0.3">
      <c r="A6" t="s">
        <v>26</v>
      </c>
      <c r="B6">
        <v>35.76</v>
      </c>
      <c r="C6">
        <v>67.58</v>
      </c>
      <c r="D6">
        <v>82.44</v>
      </c>
      <c r="E6">
        <v>32.630000000000003</v>
      </c>
      <c r="F6">
        <v>27.96</v>
      </c>
      <c r="G6">
        <v>43.91</v>
      </c>
      <c r="H6">
        <v>27.33</v>
      </c>
      <c r="I6">
        <v>39.89</v>
      </c>
      <c r="J6" t="s">
        <v>27</v>
      </c>
      <c r="K6" t="s">
        <v>28</v>
      </c>
      <c r="L6" t="s">
        <v>16</v>
      </c>
      <c r="M6" t="s">
        <v>17</v>
      </c>
    </row>
    <row r="7" spans="1:16" x14ac:dyDescent="0.3">
      <c r="A7" t="s">
        <v>29</v>
      </c>
      <c r="B7">
        <v>39.380000000000003</v>
      </c>
      <c r="C7">
        <v>84.3</v>
      </c>
      <c r="D7">
        <v>43.15</v>
      </c>
      <c r="E7">
        <v>37.67</v>
      </c>
      <c r="F7">
        <v>22.55</v>
      </c>
      <c r="G7">
        <v>79.819999999999993</v>
      </c>
      <c r="H7">
        <v>15.07</v>
      </c>
      <c r="I7">
        <v>38.67</v>
      </c>
      <c r="J7" t="s">
        <v>19</v>
      </c>
      <c r="K7" t="s">
        <v>28</v>
      </c>
      <c r="L7" t="s">
        <v>16</v>
      </c>
      <c r="M7" t="s">
        <v>30</v>
      </c>
      <c r="P7">
        <f>SUM(C2:C63)</f>
        <v>3937.2300000000005</v>
      </c>
    </row>
    <row r="8" spans="1:16" x14ac:dyDescent="0.3">
      <c r="A8" t="s">
        <v>31</v>
      </c>
      <c r="B8">
        <v>14.54</v>
      </c>
      <c r="C8">
        <v>85.23</v>
      </c>
      <c r="D8">
        <v>68.86</v>
      </c>
      <c r="E8">
        <v>26.66</v>
      </c>
      <c r="F8">
        <v>77.25</v>
      </c>
      <c r="G8">
        <v>87.5</v>
      </c>
      <c r="H8">
        <v>5.41</v>
      </c>
      <c r="I8">
        <v>38.6</v>
      </c>
      <c r="J8" t="s">
        <v>19</v>
      </c>
      <c r="K8" t="s">
        <v>28</v>
      </c>
      <c r="L8" t="s">
        <v>16</v>
      </c>
      <c r="M8" t="s">
        <v>17</v>
      </c>
    </row>
    <row r="9" spans="1:16" x14ac:dyDescent="0.3">
      <c r="A9" t="s">
        <v>32</v>
      </c>
      <c r="B9">
        <v>33.83</v>
      </c>
      <c r="C9">
        <v>81.99</v>
      </c>
      <c r="D9">
        <v>88.05</v>
      </c>
      <c r="E9">
        <v>25.54</v>
      </c>
      <c r="F9">
        <v>30.17</v>
      </c>
      <c r="G9">
        <v>62.35</v>
      </c>
      <c r="H9">
        <v>4.97</v>
      </c>
      <c r="I9">
        <v>36.35</v>
      </c>
      <c r="J9" t="s">
        <v>23</v>
      </c>
      <c r="K9" t="s">
        <v>28</v>
      </c>
      <c r="L9" t="s">
        <v>16</v>
      </c>
      <c r="M9" t="s">
        <v>17</v>
      </c>
    </row>
    <row r="10" spans="1:16" x14ac:dyDescent="0.3">
      <c r="A10" t="s">
        <v>33</v>
      </c>
      <c r="B10">
        <v>27.63</v>
      </c>
      <c r="C10">
        <v>77.22</v>
      </c>
      <c r="D10">
        <v>70.22</v>
      </c>
      <c r="E10">
        <v>35.840000000000003</v>
      </c>
      <c r="F10">
        <v>24.79</v>
      </c>
      <c r="G10">
        <v>84.65</v>
      </c>
      <c r="H10">
        <v>8.2899999999999991</v>
      </c>
      <c r="I10">
        <v>36.04</v>
      </c>
      <c r="J10" t="s">
        <v>23</v>
      </c>
      <c r="K10" t="s">
        <v>24</v>
      </c>
      <c r="L10" t="s">
        <v>16</v>
      </c>
      <c r="M10" t="s">
        <v>17</v>
      </c>
      <c r="P10">
        <f>SUM(G2:G63)</f>
        <v>3587.6699999999996</v>
      </c>
    </row>
    <row r="11" spans="1:16" x14ac:dyDescent="0.3">
      <c r="A11" t="s">
        <v>34</v>
      </c>
      <c r="B11">
        <v>28.32</v>
      </c>
      <c r="C11">
        <v>77.150000000000006</v>
      </c>
      <c r="D11">
        <v>80.02</v>
      </c>
      <c r="E11">
        <v>25.48</v>
      </c>
      <c r="F11">
        <v>21.44</v>
      </c>
      <c r="G11">
        <v>91.2</v>
      </c>
      <c r="H11">
        <v>7.65</v>
      </c>
      <c r="I11">
        <v>34.42</v>
      </c>
      <c r="J11" t="s">
        <v>23</v>
      </c>
      <c r="K11" t="s">
        <v>24</v>
      </c>
      <c r="L11" t="s">
        <v>16</v>
      </c>
      <c r="M11" t="s">
        <v>17</v>
      </c>
    </row>
    <row r="12" spans="1:16" x14ac:dyDescent="0.3">
      <c r="A12" t="s">
        <v>35</v>
      </c>
      <c r="B12">
        <v>25.43</v>
      </c>
      <c r="C12">
        <v>63.43</v>
      </c>
      <c r="D12">
        <v>61.23</v>
      </c>
      <c r="E12">
        <v>32.630000000000003</v>
      </c>
      <c r="F12">
        <v>41.15</v>
      </c>
      <c r="G12">
        <v>82.11</v>
      </c>
      <c r="H12">
        <v>6.72</v>
      </c>
      <c r="I12">
        <v>33.86</v>
      </c>
      <c r="J12" t="s">
        <v>19</v>
      </c>
      <c r="K12" t="s">
        <v>28</v>
      </c>
      <c r="L12" t="s">
        <v>16</v>
      </c>
      <c r="M12" t="s">
        <v>17</v>
      </c>
      <c r="P12">
        <f>SUM(H2:H63)</f>
        <v>382.65999999999985</v>
      </c>
    </row>
    <row r="13" spans="1:16" x14ac:dyDescent="0.3">
      <c r="A13" t="s">
        <v>36</v>
      </c>
      <c r="B13">
        <v>29.93</v>
      </c>
      <c r="C13">
        <v>89.5</v>
      </c>
      <c r="D13">
        <v>70.150000000000006</v>
      </c>
      <c r="E13">
        <v>16.79</v>
      </c>
      <c r="F13">
        <v>30.85</v>
      </c>
      <c r="G13">
        <v>69.44</v>
      </c>
      <c r="H13">
        <v>3.94</v>
      </c>
      <c r="I13">
        <v>33.04</v>
      </c>
      <c r="J13" t="s">
        <v>23</v>
      </c>
      <c r="K13" t="s">
        <v>28</v>
      </c>
      <c r="L13" t="s">
        <v>16</v>
      </c>
      <c r="M13" t="s">
        <v>17</v>
      </c>
    </row>
    <row r="14" spans="1:16" x14ac:dyDescent="0.3">
      <c r="A14" t="s">
        <v>37</v>
      </c>
      <c r="B14">
        <v>24.99</v>
      </c>
      <c r="C14">
        <v>71.599999999999994</v>
      </c>
      <c r="D14">
        <v>78.760000000000005</v>
      </c>
      <c r="E14">
        <v>25.21</v>
      </c>
      <c r="F14">
        <v>18.32</v>
      </c>
      <c r="G14">
        <v>85.99</v>
      </c>
      <c r="H14">
        <v>4.6399999999999997</v>
      </c>
      <c r="I14">
        <v>31.36</v>
      </c>
      <c r="J14" t="s">
        <v>23</v>
      </c>
      <c r="K14" t="s">
        <v>28</v>
      </c>
      <c r="L14" t="s">
        <v>16</v>
      </c>
      <c r="M14" t="s">
        <v>17</v>
      </c>
    </row>
    <row r="15" spans="1:16" x14ac:dyDescent="0.3">
      <c r="A15" t="s">
        <v>38</v>
      </c>
      <c r="B15">
        <v>27.07</v>
      </c>
      <c r="C15">
        <v>74.08</v>
      </c>
      <c r="D15">
        <v>85.39</v>
      </c>
      <c r="E15">
        <v>26.01</v>
      </c>
      <c r="F15">
        <v>8.92</v>
      </c>
      <c r="G15">
        <v>74.23</v>
      </c>
      <c r="H15">
        <v>3.46</v>
      </c>
      <c r="I15">
        <v>30.87</v>
      </c>
      <c r="J15" t="s">
        <v>23</v>
      </c>
      <c r="K15" t="s">
        <v>28</v>
      </c>
      <c r="L15" t="s">
        <v>16</v>
      </c>
      <c r="M15" t="s">
        <v>17</v>
      </c>
    </row>
    <row r="16" spans="1:16" x14ac:dyDescent="0.3">
      <c r="A16" t="s">
        <v>39</v>
      </c>
      <c r="B16">
        <v>21.66</v>
      </c>
      <c r="C16">
        <v>94.88</v>
      </c>
      <c r="D16">
        <v>66.959999999999994</v>
      </c>
      <c r="E16">
        <v>19.39</v>
      </c>
      <c r="F16">
        <v>19.95</v>
      </c>
      <c r="G16">
        <v>66.69</v>
      </c>
      <c r="H16">
        <v>4.68</v>
      </c>
      <c r="I16">
        <v>30.73</v>
      </c>
      <c r="J16" t="s">
        <v>23</v>
      </c>
      <c r="K16" t="s">
        <v>40</v>
      </c>
      <c r="L16" t="s">
        <v>16</v>
      </c>
      <c r="M16" t="s">
        <v>17</v>
      </c>
      <c r="O16">
        <f>SUM(E2:E63)</f>
        <v>1029.82</v>
      </c>
    </row>
    <row r="17" spans="1:13" x14ac:dyDescent="0.3">
      <c r="A17" t="s">
        <v>41</v>
      </c>
      <c r="B17">
        <v>15.18</v>
      </c>
      <c r="C17">
        <v>84.58</v>
      </c>
      <c r="D17">
        <v>57.53</v>
      </c>
      <c r="E17">
        <v>22.51</v>
      </c>
      <c r="F17">
        <v>34.47</v>
      </c>
      <c r="G17">
        <v>71.959999999999994</v>
      </c>
      <c r="H17">
        <v>7.31</v>
      </c>
      <c r="I17">
        <v>30.53</v>
      </c>
      <c r="J17" t="s">
        <v>19</v>
      </c>
      <c r="K17" t="s">
        <v>28</v>
      </c>
      <c r="L17" t="s">
        <v>16</v>
      </c>
      <c r="M17" t="s">
        <v>17</v>
      </c>
    </row>
    <row r="18" spans="1:13" x14ac:dyDescent="0.3">
      <c r="A18" t="s">
        <v>42</v>
      </c>
      <c r="B18">
        <v>45.27</v>
      </c>
      <c r="C18">
        <v>33.909999999999997</v>
      </c>
      <c r="D18">
        <v>77.3</v>
      </c>
      <c r="E18">
        <v>18.920000000000002</v>
      </c>
      <c r="F18">
        <v>30.86</v>
      </c>
      <c r="G18">
        <v>58.83</v>
      </c>
      <c r="H18">
        <v>7.39</v>
      </c>
      <c r="I18">
        <v>30.36</v>
      </c>
      <c r="J18" t="s">
        <v>19</v>
      </c>
      <c r="K18" t="s">
        <v>40</v>
      </c>
      <c r="L18" t="s">
        <v>43</v>
      </c>
      <c r="M18" t="s">
        <v>44</v>
      </c>
    </row>
    <row r="19" spans="1:13" x14ac:dyDescent="0.3">
      <c r="A19" t="s">
        <v>45</v>
      </c>
      <c r="B19">
        <v>25.63</v>
      </c>
      <c r="C19">
        <v>78.430000000000007</v>
      </c>
      <c r="D19">
        <v>44.14</v>
      </c>
      <c r="E19">
        <v>38.24</v>
      </c>
      <c r="F19">
        <v>23.11</v>
      </c>
      <c r="G19">
        <v>12.18</v>
      </c>
      <c r="H19">
        <v>7.76</v>
      </c>
      <c r="I19">
        <v>30.25</v>
      </c>
      <c r="J19" t="s">
        <v>23</v>
      </c>
      <c r="K19" t="s">
        <v>28</v>
      </c>
      <c r="L19" t="s">
        <v>16</v>
      </c>
      <c r="M19" t="s">
        <v>17</v>
      </c>
    </row>
    <row r="20" spans="1:13" x14ac:dyDescent="0.3">
      <c r="A20" t="s">
        <v>46</v>
      </c>
      <c r="B20">
        <v>28.21</v>
      </c>
      <c r="C20">
        <v>75.19</v>
      </c>
      <c r="D20">
        <v>66.77</v>
      </c>
      <c r="E20">
        <v>27.61</v>
      </c>
      <c r="F20">
        <v>17.809999999999999</v>
      </c>
      <c r="G20">
        <v>40.35</v>
      </c>
      <c r="H20">
        <v>4.51</v>
      </c>
      <c r="I20">
        <v>29.85</v>
      </c>
      <c r="J20" t="s">
        <v>23</v>
      </c>
      <c r="K20" t="s">
        <v>40</v>
      </c>
      <c r="L20" t="s">
        <v>16</v>
      </c>
      <c r="M20" t="s">
        <v>17</v>
      </c>
    </row>
    <row r="21" spans="1:13" x14ac:dyDescent="0.3">
      <c r="A21" t="s">
        <v>47</v>
      </c>
      <c r="B21">
        <v>17.559999999999999</v>
      </c>
      <c r="C21">
        <v>96.11</v>
      </c>
      <c r="D21">
        <v>59.5</v>
      </c>
      <c r="E21">
        <v>31.51</v>
      </c>
      <c r="F21">
        <v>8.6300000000000008</v>
      </c>
      <c r="G21">
        <v>33.29</v>
      </c>
      <c r="H21">
        <v>5.3</v>
      </c>
      <c r="I21">
        <v>29.11</v>
      </c>
      <c r="J21" t="s">
        <v>19</v>
      </c>
      <c r="K21" t="s">
        <v>40</v>
      </c>
      <c r="L21" t="s">
        <v>16</v>
      </c>
      <c r="M21" t="s">
        <v>30</v>
      </c>
    </row>
    <row r="22" spans="1:13" x14ac:dyDescent="0.3">
      <c r="A22" t="s">
        <v>48</v>
      </c>
      <c r="B22">
        <v>17.61</v>
      </c>
      <c r="C22">
        <v>73.319999999999993</v>
      </c>
      <c r="D22">
        <v>75.36</v>
      </c>
      <c r="E22">
        <v>18.600000000000001</v>
      </c>
      <c r="F22">
        <v>10.87</v>
      </c>
      <c r="G22">
        <v>91.28</v>
      </c>
      <c r="H22">
        <v>3.08</v>
      </c>
      <c r="I22">
        <v>26.95</v>
      </c>
      <c r="J22" t="s">
        <v>23</v>
      </c>
      <c r="K22" t="s">
        <v>28</v>
      </c>
      <c r="L22" t="s">
        <v>16</v>
      </c>
      <c r="M22" t="s">
        <v>17</v>
      </c>
    </row>
    <row r="23" spans="1:13" x14ac:dyDescent="0.3">
      <c r="A23" t="s">
        <v>49</v>
      </c>
      <c r="B23">
        <v>16.97</v>
      </c>
      <c r="C23">
        <v>64.489999999999995</v>
      </c>
      <c r="D23">
        <v>76.3</v>
      </c>
      <c r="E23">
        <v>23.56</v>
      </c>
      <c r="F23">
        <v>17.809999999999999</v>
      </c>
      <c r="G23">
        <v>72.14</v>
      </c>
      <c r="H23">
        <v>3.08</v>
      </c>
      <c r="I23">
        <v>26.89</v>
      </c>
      <c r="J23" t="s">
        <v>23</v>
      </c>
      <c r="K23" t="s">
        <v>40</v>
      </c>
      <c r="L23" t="s">
        <v>16</v>
      </c>
      <c r="M23" t="s">
        <v>30</v>
      </c>
    </row>
    <row r="24" spans="1:13" x14ac:dyDescent="0.3">
      <c r="A24" t="s">
        <v>50</v>
      </c>
      <c r="B24">
        <v>18.739999999999998</v>
      </c>
      <c r="C24">
        <v>63.65</v>
      </c>
      <c r="D24">
        <v>88.67</v>
      </c>
      <c r="E24">
        <v>11.75</v>
      </c>
      <c r="F24">
        <v>9.31</v>
      </c>
      <c r="G24">
        <v>72.08</v>
      </c>
      <c r="H24">
        <v>12.51</v>
      </c>
      <c r="I24">
        <v>26.6</v>
      </c>
      <c r="J24" t="s">
        <v>23</v>
      </c>
      <c r="K24" t="s">
        <v>40</v>
      </c>
      <c r="L24" t="s">
        <v>16</v>
      </c>
      <c r="M24" t="s">
        <v>17</v>
      </c>
    </row>
    <row r="25" spans="1:13" x14ac:dyDescent="0.3">
      <c r="A25" t="s">
        <v>51</v>
      </c>
      <c r="B25">
        <v>12.34</v>
      </c>
      <c r="C25">
        <v>77.86</v>
      </c>
      <c r="D25">
        <v>56.67</v>
      </c>
      <c r="E25">
        <v>25.71</v>
      </c>
      <c r="F25">
        <v>19.989999999999998</v>
      </c>
      <c r="G25">
        <v>55.97</v>
      </c>
      <c r="H25">
        <v>2.5299999999999998</v>
      </c>
      <c r="I25">
        <v>25.79</v>
      </c>
      <c r="J25" t="s">
        <v>19</v>
      </c>
      <c r="K25" t="s">
        <v>40</v>
      </c>
      <c r="L25" t="s">
        <v>16</v>
      </c>
      <c r="M25" t="s">
        <v>17</v>
      </c>
    </row>
    <row r="26" spans="1:13" x14ac:dyDescent="0.3">
      <c r="A26" t="s">
        <v>52</v>
      </c>
      <c r="B26">
        <v>27.61</v>
      </c>
      <c r="C26">
        <v>76.2</v>
      </c>
      <c r="D26">
        <v>36.65</v>
      </c>
      <c r="E26">
        <v>21.18</v>
      </c>
      <c r="F26">
        <v>13.56</v>
      </c>
      <c r="G26">
        <v>59.05</v>
      </c>
      <c r="H26">
        <v>3.95</v>
      </c>
      <c r="I26">
        <v>25.77</v>
      </c>
      <c r="J26" t="s">
        <v>23</v>
      </c>
      <c r="K26" t="s">
        <v>40</v>
      </c>
      <c r="L26" t="s">
        <v>16</v>
      </c>
      <c r="M26" t="s">
        <v>17</v>
      </c>
    </row>
    <row r="27" spans="1:13" x14ac:dyDescent="0.3">
      <c r="A27" t="s">
        <v>53</v>
      </c>
      <c r="B27">
        <v>4.49</v>
      </c>
      <c r="C27">
        <v>70.8</v>
      </c>
      <c r="D27">
        <v>100</v>
      </c>
      <c r="E27">
        <v>13.63</v>
      </c>
      <c r="F27">
        <v>14.38</v>
      </c>
      <c r="G27">
        <v>91.63</v>
      </c>
      <c r="H27">
        <v>4.7300000000000004</v>
      </c>
      <c r="I27">
        <v>25.6</v>
      </c>
      <c r="J27" t="s">
        <v>27</v>
      </c>
      <c r="K27" t="s">
        <v>40</v>
      </c>
      <c r="L27" t="s">
        <v>16</v>
      </c>
      <c r="M27" t="s">
        <v>21</v>
      </c>
    </row>
    <row r="28" spans="1:13" x14ac:dyDescent="0.3">
      <c r="A28" t="s">
        <v>54</v>
      </c>
      <c r="B28">
        <v>15.17</v>
      </c>
      <c r="C28">
        <v>65.099999999999994</v>
      </c>
      <c r="D28">
        <v>64.08</v>
      </c>
      <c r="E28">
        <v>22.15</v>
      </c>
      <c r="F28">
        <v>19.809999999999999</v>
      </c>
      <c r="G28">
        <v>63.58</v>
      </c>
      <c r="H28">
        <v>5.31</v>
      </c>
      <c r="I28">
        <v>25.52</v>
      </c>
      <c r="J28" t="s">
        <v>23</v>
      </c>
      <c r="K28" t="s">
        <v>40</v>
      </c>
      <c r="L28" t="s">
        <v>16</v>
      </c>
      <c r="M28" t="s">
        <v>17</v>
      </c>
    </row>
    <row r="29" spans="1:13" x14ac:dyDescent="0.3">
      <c r="A29" t="s">
        <v>55</v>
      </c>
      <c r="B29">
        <v>14.21</v>
      </c>
      <c r="C29">
        <v>70.959999999999994</v>
      </c>
      <c r="D29">
        <v>99.56</v>
      </c>
      <c r="E29">
        <v>10.6</v>
      </c>
      <c r="F29">
        <v>9.09</v>
      </c>
      <c r="G29">
        <v>78.14</v>
      </c>
      <c r="H29">
        <v>2.25</v>
      </c>
      <c r="I29">
        <v>25.2</v>
      </c>
      <c r="J29" t="s">
        <v>23</v>
      </c>
      <c r="K29" t="s">
        <v>40</v>
      </c>
      <c r="L29" t="s">
        <v>16</v>
      </c>
      <c r="M29" t="s">
        <v>30</v>
      </c>
    </row>
    <row r="30" spans="1:13" x14ac:dyDescent="0.3">
      <c r="A30" t="s">
        <v>56</v>
      </c>
      <c r="B30">
        <v>13.02</v>
      </c>
      <c r="C30">
        <v>72.06</v>
      </c>
      <c r="D30">
        <v>94.55</v>
      </c>
      <c r="E30">
        <v>19.100000000000001</v>
      </c>
      <c r="F30">
        <v>1.06</v>
      </c>
      <c r="G30">
        <v>80.38</v>
      </c>
      <c r="H30">
        <v>0.61</v>
      </c>
      <c r="I30">
        <v>25.19</v>
      </c>
      <c r="J30" t="s">
        <v>23</v>
      </c>
      <c r="K30" t="s">
        <v>40</v>
      </c>
      <c r="L30" t="s">
        <v>16</v>
      </c>
      <c r="M30" t="s">
        <v>30</v>
      </c>
    </row>
    <row r="31" spans="1:13" x14ac:dyDescent="0.3">
      <c r="A31" t="s">
        <v>57</v>
      </c>
      <c r="B31">
        <v>23.3</v>
      </c>
      <c r="C31">
        <v>69.78</v>
      </c>
      <c r="D31">
        <v>90.35</v>
      </c>
      <c r="E31">
        <v>12.23</v>
      </c>
      <c r="F31">
        <v>5.96</v>
      </c>
      <c r="G31">
        <v>47.62</v>
      </c>
      <c r="H31">
        <v>2.4900000000000002</v>
      </c>
      <c r="I31">
        <v>24.88</v>
      </c>
      <c r="J31" t="s">
        <v>19</v>
      </c>
      <c r="K31" t="s">
        <v>40</v>
      </c>
      <c r="L31" t="s">
        <v>16</v>
      </c>
      <c r="M31" t="s">
        <v>17</v>
      </c>
    </row>
    <row r="32" spans="1:13" x14ac:dyDescent="0.3">
      <c r="A32" t="s">
        <v>58</v>
      </c>
      <c r="B32">
        <v>11.09</v>
      </c>
      <c r="C32">
        <v>64.760000000000005</v>
      </c>
      <c r="D32">
        <v>83.25</v>
      </c>
      <c r="E32">
        <v>20.3</v>
      </c>
      <c r="F32">
        <v>14.66</v>
      </c>
      <c r="G32">
        <v>61.43</v>
      </c>
      <c r="H32">
        <v>2.64</v>
      </c>
      <c r="I32">
        <v>24.45</v>
      </c>
      <c r="J32" t="s">
        <v>23</v>
      </c>
      <c r="K32" t="s">
        <v>40</v>
      </c>
      <c r="L32" t="s">
        <v>16</v>
      </c>
      <c r="M32" t="s">
        <v>17</v>
      </c>
    </row>
    <row r="33" spans="1:16" x14ac:dyDescent="0.3">
      <c r="A33" t="s">
        <v>59</v>
      </c>
      <c r="B33">
        <v>12.46</v>
      </c>
      <c r="C33">
        <v>62.59</v>
      </c>
      <c r="D33">
        <v>52.85</v>
      </c>
      <c r="E33">
        <v>14.21</v>
      </c>
      <c r="F33">
        <v>19.48</v>
      </c>
      <c r="G33">
        <v>90.4</v>
      </c>
      <c r="H33">
        <v>1.38</v>
      </c>
      <c r="I33">
        <v>21.99</v>
      </c>
      <c r="J33" t="s">
        <v>23</v>
      </c>
      <c r="K33" t="s">
        <v>40</v>
      </c>
      <c r="L33" t="s">
        <v>20</v>
      </c>
      <c r="M33" t="s">
        <v>44</v>
      </c>
    </row>
    <row r="34" spans="1:16" x14ac:dyDescent="0.3">
      <c r="A34" t="s">
        <v>60</v>
      </c>
      <c r="B34">
        <v>15.87</v>
      </c>
      <c r="C34">
        <v>67.12</v>
      </c>
      <c r="D34">
        <v>70.959999999999994</v>
      </c>
      <c r="E34">
        <v>5.96</v>
      </c>
      <c r="F34">
        <v>11.72</v>
      </c>
      <c r="G34">
        <v>70.489999999999995</v>
      </c>
      <c r="H34">
        <v>4.3</v>
      </c>
      <c r="I34">
        <v>21.85</v>
      </c>
      <c r="J34" t="s">
        <v>23</v>
      </c>
      <c r="K34" t="s">
        <v>40</v>
      </c>
      <c r="L34" t="s">
        <v>16</v>
      </c>
      <c r="M34" t="s">
        <v>30</v>
      </c>
    </row>
    <row r="35" spans="1:16" x14ac:dyDescent="0.3">
      <c r="A35" t="s">
        <v>61</v>
      </c>
      <c r="B35">
        <v>2.65</v>
      </c>
      <c r="C35">
        <v>79.16</v>
      </c>
      <c r="D35">
        <v>72.12</v>
      </c>
      <c r="E35">
        <v>5.13</v>
      </c>
      <c r="F35">
        <v>15.53</v>
      </c>
      <c r="G35">
        <v>81.38</v>
      </c>
      <c r="H35">
        <v>3.22</v>
      </c>
      <c r="I35">
        <v>21.17</v>
      </c>
      <c r="J35" t="s">
        <v>27</v>
      </c>
      <c r="K35" t="s">
        <v>40</v>
      </c>
      <c r="L35" t="s">
        <v>16</v>
      </c>
      <c r="M35" t="s">
        <v>21</v>
      </c>
    </row>
    <row r="36" spans="1:16" x14ac:dyDescent="0.3">
      <c r="A36" t="s">
        <v>62</v>
      </c>
      <c r="B36">
        <v>13.43</v>
      </c>
      <c r="C36">
        <v>64.2</v>
      </c>
      <c r="D36">
        <v>80.66</v>
      </c>
      <c r="E36">
        <v>8.9600000000000009</v>
      </c>
      <c r="F36">
        <v>3.92</v>
      </c>
      <c r="G36">
        <v>70.69</v>
      </c>
      <c r="H36">
        <v>2.0499999999999998</v>
      </c>
      <c r="I36">
        <v>20.89</v>
      </c>
      <c r="J36" t="s">
        <v>23</v>
      </c>
      <c r="K36" t="s">
        <v>40</v>
      </c>
      <c r="L36" t="s">
        <v>16</v>
      </c>
      <c r="M36" t="s">
        <v>30</v>
      </c>
    </row>
    <row r="37" spans="1:16" x14ac:dyDescent="0.3">
      <c r="A37" t="s">
        <v>63</v>
      </c>
      <c r="B37">
        <v>11.11</v>
      </c>
      <c r="C37">
        <v>64.260000000000005</v>
      </c>
      <c r="D37">
        <v>76.97</v>
      </c>
      <c r="E37">
        <v>11.26</v>
      </c>
      <c r="F37">
        <v>2.7</v>
      </c>
      <c r="G37">
        <v>70.290000000000006</v>
      </c>
      <c r="H37">
        <v>1.75</v>
      </c>
      <c r="I37">
        <v>20.309999999999999</v>
      </c>
      <c r="J37" t="s">
        <v>23</v>
      </c>
      <c r="K37" t="s">
        <v>40</v>
      </c>
      <c r="L37" t="s">
        <v>16</v>
      </c>
      <c r="M37" t="s">
        <v>30</v>
      </c>
    </row>
    <row r="38" spans="1:16" x14ac:dyDescent="0.3">
      <c r="A38" t="s">
        <v>64</v>
      </c>
      <c r="B38">
        <v>18.45</v>
      </c>
      <c r="C38">
        <v>72.45</v>
      </c>
      <c r="D38">
        <v>41.19</v>
      </c>
      <c r="E38">
        <v>18.29</v>
      </c>
      <c r="F38">
        <v>0.19</v>
      </c>
      <c r="G38">
        <v>22.15</v>
      </c>
      <c r="H38">
        <v>5.74</v>
      </c>
      <c r="I38">
        <v>19.809999999999999</v>
      </c>
      <c r="J38" t="s">
        <v>23</v>
      </c>
      <c r="K38" t="s">
        <v>40</v>
      </c>
      <c r="L38" t="s">
        <v>16</v>
      </c>
      <c r="M38" t="s">
        <v>17</v>
      </c>
    </row>
    <row r="39" spans="1:16" x14ac:dyDescent="0.3">
      <c r="A39" t="s">
        <v>65</v>
      </c>
      <c r="B39">
        <v>14.3</v>
      </c>
      <c r="C39">
        <v>63.19</v>
      </c>
      <c r="D39">
        <v>80.67</v>
      </c>
      <c r="E39">
        <v>3.22</v>
      </c>
      <c r="F39">
        <v>6.18</v>
      </c>
      <c r="G39">
        <v>64.28</v>
      </c>
      <c r="H39">
        <v>1.77</v>
      </c>
      <c r="I39">
        <v>19.59</v>
      </c>
      <c r="J39" t="s">
        <v>23</v>
      </c>
      <c r="K39" t="s">
        <v>40</v>
      </c>
      <c r="L39" t="s">
        <v>16</v>
      </c>
      <c r="M39" t="s">
        <v>30</v>
      </c>
    </row>
    <row r="40" spans="1:16" x14ac:dyDescent="0.3">
      <c r="A40" t="s">
        <v>66</v>
      </c>
      <c r="B40">
        <v>13.46</v>
      </c>
      <c r="C40">
        <v>62.61</v>
      </c>
      <c r="D40">
        <v>72.819999999999993</v>
      </c>
      <c r="E40">
        <v>4.83</v>
      </c>
      <c r="F40">
        <v>5.07</v>
      </c>
      <c r="G40">
        <v>67.72</v>
      </c>
      <c r="H40">
        <v>1.36</v>
      </c>
      <c r="I40">
        <v>18.89</v>
      </c>
      <c r="J40" t="s">
        <v>14</v>
      </c>
      <c r="K40" t="s">
        <v>40</v>
      </c>
      <c r="L40" t="s">
        <v>20</v>
      </c>
      <c r="M40" t="s">
        <v>30</v>
      </c>
    </row>
    <row r="41" spans="1:16" x14ac:dyDescent="0.3">
      <c r="A41" t="s">
        <v>67</v>
      </c>
      <c r="B41">
        <v>7.62</v>
      </c>
      <c r="C41">
        <v>55.44</v>
      </c>
      <c r="D41">
        <v>83.58</v>
      </c>
      <c r="E41">
        <v>15.12</v>
      </c>
      <c r="F41">
        <v>2.21</v>
      </c>
      <c r="G41">
        <v>22.15</v>
      </c>
      <c r="H41">
        <v>0.92</v>
      </c>
      <c r="I41">
        <v>17.329999999999998</v>
      </c>
      <c r="J41" t="s">
        <v>23</v>
      </c>
      <c r="K41" t="s">
        <v>40</v>
      </c>
      <c r="L41" t="s">
        <v>16</v>
      </c>
      <c r="M41" t="s">
        <v>17</v>
      </c>
    </row>
    <row r="42" spans="1:16" x14ac:dyDescent="0.3">
      <c r="A42" t="s">
        <v>68</v>
      </c>
      <c r="B42">
        <v>8.5500000000000007</v>
      </c>
      <c r="C42">
        <v>65.36</v>
      </c>
      <c r="D42">
        <v>88.71</v>
      </c>
      <c r="E42">
        <v>2.97</v>
      </c>
      <c r="F42">
        <v>0.34</v>
      </c>
      <c r="G42">
        <v>43.07</v>
      </c>
      <c r="H42">
        <v>0.67</v>
      </c>
      <c r="I42">
        <v>17.239999999999998</v>
      </c>
      <c r="J42" t="s">
        <v>23</v>
      </c>
      <c r="K42" t="s">
        <v>40</v>
      </c>
      <c r="L42" t="s">
        <v>16</v>
      </c>
      <c r="M42" t="s">
        <v>30</v>
      </c>
    </row>
    <row r="43" spans="1:16" x14ac:dyDescent="0.3">
      <c r="A43" t="s">
        <v>69</v>
      </c>
      <c r="B43">
        <v>10.34</v>
      </c>
      <c r="C43">
        <v>69.17</v>
      </c>
      <c r="D43">
        <v>58.01</v>
      </c>
      <c r="E43">
        <v>4.3099999999999996</v>
      </c>
      <c r="F43">
        <v>5.4</v>
      </c>
      <c r="G43">
        <v>55.01</v>
      </c>
      <c r="H43">
        <v>1.08</v>
      </c>
      <c r="I43">
        <v>17</v>
      </c>
      <c r="J43" t="s">
        <v>23</v>
      </c>
      <c r="K43" t="s">
        <v>40</v>
      </c>
      <c r="L43" t="s">
        <v>16</v>
      </c>
      <c r="M43" t="s">
        <v>44</v>
      </c>
      <c r="P43">
        <f>SUM(D1:D63)</f>
        <v>4149.38</v>
      </c>
    </row>
    <row r="44" spans="1:16" x14ac:dyDescent="0.3">
      <c r="A44" t="s">
        <v>70</v>
      </c>
      <c r="B44">
        <v>10.44</v>
      </c>
      <c r="C44">
        <v>62.04</v>
      </c>
      <c r="D44">
        <v>73.239999999999995</v>
      </c>
      <c r="E44">
        <v>5.57</v>
      </c>
      <c r="F44">
        <v>0.88</v>
      </c>
      <c r="G44">
        <v>47.6</v>
      </c>
      <c r="H44">
        <v>0.63</v>
      </c>
      <c r="I44">
        <v>16.66</v>
      </c>
      <c r="J44" t="s">
        <v>19</v>
      </c>
      <c r="K44" t="s">
        <v>40</v>
      </c>
      <c r="L44" t="s">
        <v>20</v>
      </c>
      <c r="M44" t="s">
        <v>44</v>
      </c>
    </row>
    <row r="45" spans="1:16" x14ac:dyDescent="0.3">
      <c r="A45" t="s">
        <v>71</v>
      </c>
      <c r="B45">
        <v>1.72</v>
      </c>
      <c r="C45">
        <v>41.85</v>
      </c>
      <c r="D45">
        <v>97.03</v>
      </c>
      <c r="E45">
        <v>8.11</v>
      </c>
      <c r="F45">
        <v>4.46</v>
      </c>
      <c r="G45">
        <v>54.21</v>
      </c>
      <c r="H45">
        <v>0.78</v>
      </c>
      <c r="I45">
        <v>15.48</v>
      </c>
      <c r="J45" t="s">
        <v>14</v>
      </c>
      <c r="K45" t="s">
        <v>40</v>
      </c>
      <c r="L45" t="s">
        <v>20</v>
      </c>
      <c r="M45" t="s">
        <v>30</v>
      </c>
    </row>
    <row r="46" spans="1:16" x14ac:dyDescent="0.3">
      <c r="A46" t="s">
        <v>72</v>
      </c>
      <c r="B46">
        <v>10.56</v>
      </c>
      <c r="C46">
        <v>61.97</v>
      </c>
      <c r="D46">
        <v>56.73</v>
      </c>
      <c r="E46">
        <v>1.49</v>
      </c>
      <c r="F46">
        <v>0.67</v>
      </c>
      <c r="G46">
        <v>60.5</v>
      </c>
      <c r="H46">
        <v>2.95</v>
      </c>
      <c r="I46">
        <v>15.33</v>
      </c>
      <c r="J46" t="s">
        <v>14</v>
      </c>
      <c r="K46" t="s">
        <v>40</v>
      </c>
      <c r="L46" t="s">
        <v>16</v>
      </c>
      <c r="M46" t="s">
        <v>17</v>
      </c>
    </row>
    <row r="47" spans="1:16" x14ac:dyDescent="0.3">
      <c r="A47" t="s">
        <v>73</v>
      </c>
      <c r="B47">
        <v>8.4</v>
      </c>
      <c r="C47">
        <v>56.15</v>
      </c>
      <c r="D47">
        <v>75.95</v>
      </c>
      <c r="E47">
        <v>1.25</v>
      </c>
      <c r="F47">
        <v>3.19</v>
      </c>
      <c r="G47">
        <v>54.94</v>
      </c>
      <c r="H47">
        <v>0.34</v>
      </c>
      <c r="I47">
        <v>15.24</v>
      </c>
      <c r="J47" t="s">
        <v>14</v>
      </c>
      <c r="K47" t="s">
        <v>40</v>
      </c>
      <c r="L47" t="s">
        <v>20</v>
      </c>
      <c r="M47" t="s">
        <v>30</v>
      </c>
    </row>
    <row r="48" spans="1:16" x14ac:dyDescent="0.3">
      <c r="A48" t="s">
        <v>74</v>
      </c>
      <c r="B48">
        <v>0</v>
      </c>
      <c r="C48">
        <v>67.97</v>
      </c>
      <c r="D48">
        <v>62.58</v>
      </c>
      <c r="E48">
        <v>11.94</v>
      </c>
      <c r="F48">
        <v>0</v>
      </c>
      <c r="G48">
        <v>33.49</v>
      </c>
      <c r="H48">
        <v>0</v>
      </c>
      <c r="I48">
        <v>14.66</v>
      </c>
      <c r="J48" t="s">
        <v>27</v>
      </c>
      <c r="K48" t="s">
        <v>40</v>
      </c>
      <c r="L48" t="s">
        <v>16</v>
      </c>
      <c r="M48" t="s">
        <v>21</v>
      </c>
    </row>
    <row r="49" spans="1:13" x14ac:dyDescent="0.3">
      <c r="A49" t="s">
        <v>75</v>
      </c>
      <c r="B49">
        <v>8.49</v>
      </c>
      <c r="C49">
        <v>40.74</v>
      </c>
      <c r="D49">
        <v>64.34</v>
      </c>
      <c r="E49">
        <v>9.5299999999999994</v>
      </c>
      <c r="F49">
        <v>1.02</v>
      </c>
      <c r="G49">
        <v>67.45</v>
      </c>
      <c r="H49">
        <v>0.95</v>
      </c>
      <c r="I49">
        <v>14.39</v>
      </c>
      <c r="J49" t="s">
        <v>23</v>
      </c>
      <c r="K49" t="s">
        <v>40</v>
      </c>
      <c r="L49" t="s">
        <v>16</v>
      </c>
      <c r="M49" t="s">
        <v>30</v>
      </c>
    </row>
    <row r="50" spans="1:13" x14ac:dyDescent="0.3">
      <c r="A50" t="s">
        <v>76</v>
      </c>
      <c r="B50">
        <v>4.97</v>
      </c>
      <c r="C50">
        <v>54.8</v>
      </c>
      <c r="D50">
        <v>62.37</v>
      </c>
      <c r="E50">
        <v>0</v>
      </c>
      <c r="F50">
        <v>0.89</v>
      </c>
      <c r="G50">
        <v>85.29</v>
      </c>
      <c r="H50">
        <v>0.5</v>
      </c>
      <c r="I50">
        <v>13.85</v>
      </c>
      <c r="J50" t="s">
        <v>14</v>
      </c>
      <c r="K50" t="s">
        <v>40</v>
      </c>
      <c r="L50" t="s">
        <v>20</v>
      </c>
      <c r="M50" t="s">
        <v>30</v>
      </c>
    </row>
    <row r="51" spans="1:13" x14ac:dyDescent="0.3">
      <c r="A51" t="s">
        <v>77</v>
      </c>
      <c r="B51">
        <v>7.28</v>
      </c>
      <c r="C51">
        <v>58.77</v>
      </c>
      <c r="D51">
        <v>70.75</v>
      </c>
      <c r="E51">
        <v>0.73</v>
      </c>
      <c r="F51">
        <v>0.26</v>
      </c>
      <c r="G51">
        <v>30.92</v>
      </c>
      <c r="H51">
        <v>0.43</v>
      </c>
      <c r="I51">
        <v>13.27</v>
      </c>
      <c r="J51" t="s">
        <v>14</v>
      </c>
      <c r="K51" t="s">
        <v>40</v>
      </c>
      <c r="L51" t="s">
        <v>16</v>
      </c>
      <c r="M51" t="s">
        <v>17</v>
      </c>
    </row>
    <row r="52" spans="1:13" x14ac:dyDescent="0.3">
      <c r="A52" t="s">
        <v>78</v>
      </c>
      <c r="B52">
        <v>4.99</v>
      </c>
      <c r="C52">
        <v>60.39</v>
      </c>
      <c r="D52">
        <v>60.9</v>
      </c>
      <c r="E52">
        <v>2.5299999999999998</v>
      </c>
      <c r="F52">
        <v>0</v>
      </c>
      <c r="G52">
        <v>17.72</v>
      </c>
      <c r="H52">
        <v>0.24</v>
      </c>
      <c r="I52">
        <v>11.79</v>
      </c>
      <c r="J52" t="s">
        <v>27</v>
      </c>
      <c r="K52" t="s">
        <v>40</v>
      </c>
      <c r="L52" t="s">
        <v>16</v>
      </c>
      <c r="M52" t="s">
        <v>21</v>
      </c>
    </row>
    <row r="53" spans="1:13" x14ac:dyDescent="0.3">
      <c r="A53" t="s">
        <v>79</v>
      </c>
      <c r="B53">
        <v>6.34</v>
      </c>
      <c r="C53">
        <v>55.76</v>
      </c>
      <c r="D53">
        <v>37.61</v>
      </c>
      <c r="E53">
        <v>2.0299999999999998</v>
      </c>
      <c r="F53">
        <v>0.3</v>
      </c>
      <c r="G53">
        <v>68.86</v>
      </c>
      <c r="H53">
        <v>0.31</v>
      </c>
      <c r="I53">
        <v>11.62</v>
      </c>
      <c r="J53" t="s">
        <v>19</v>
      </c>
      <c r="K53" t="s">
        <v>40</v>
      </c>
      <c r="L53" t="s">
        <v>43</v>
      </c>
      <c r="M53" t="s">
        <v>21</v>
      </c>
    </row>
    <row r="54" spans="1:13" x14ac:dyDescent="0.3">
      <c r="A54" t="s">
        <v>80</v>
      </c>
      <c r="B54">
        <v>5.51</v>
      </c>
      <c r="C54">
        <v>47.52</v>
      </c>
      <c r="D54">
        <v>51.18</v>
      </c>
      <c r="E54">
        <v>0.98</v>
      </c>
      <c r="F54">
        <v>3.52</v>
      </c>
      <c r="G54">
        <v>59.99</v>
      </c>
      <c r="H54">
        <v>0.91</v>
      </c>
      <c r="I54">
        <v>11.47</v>
      </c>
      <c r="J54" t="s">
        <v>19</v>
      </c>
      <c r="K54" t="s">
        <v>40</v>
      </c>
      <c r="L54" t="s">
        <v>43</v>
      </c>
      <c r="M54" t="s">
        <v>30</v>
      </c>
    </row>
    <row r="55" spans="1:13" x14ac:dyDescent="0.3">
      <c r="A55" t="s">
        <v>81</v>
      </c>
      <c r="B55">
        <v>8.94</v>
      </c>
      <c r="C55">
        <v>38.590000000000003</v>
      </c>
      <c r="D55">
        <v>62.32</v>
      </c>
      <c r="E55">
        <v>3.9</v>
      </c>
      <c r="F55">
        <v>0</v>
      </c>
      <c r="G55">
        <v>12.18</v>
      </c>
      <c r="H55">
        <v>0.15</v>
      </c>
      <c r="I55">
        <v>9.8699999999999992</v>
      </c>
      <c r="J55" t="s">
        <v>82</v>
      </c>
      <c r="K55" t="s">
        <v>40</v>
      </c>
      <c r="L55" t="s">
        <v>43</v>
      </c>
      <c r="M55" t="s">
        <v>30</v>
      </c>
    </row>
    <row r="56" spans="1:13" x14ac:dyDescent="0.3">
      <c r="A56" t="s">
        <v>83</v>
      </c>
      <c r="B56">
        <v>4.6100000000000003</v>
      </c>
      <c r="C56">
        <v>45.73</v>
      </c>
      <c r="D56">
        <v>58.43</v>
      </c>
      <c r="E56">
        <v>0.83</v>
      </c>
      <c r="F56">
        <v>7.52</v>
      </c>
      <c r="G56">
        <v>0</v>
      </c>
      <c r="H56">
        <v>2.0299999999999998</v>
      </c>
      <c r="I56">
        <v>9.7100000000000009</v>
      </c>
      <c r="J56" t="s">
        <v>82</v>
      </c>
      <c r="K56" t="s">
        <v>40</v>
      </c>
      <c r="L56" t="s">
        <v>20</v>
      </c>
      <c r="M56" t="s">
        <v>30</v>
      </c>
    </row>
    <row r="57" spans="1:13" x14ac:dyDescent="0.3">
      <c r="A57" t="s">
        <v>84</v>
      </c>
      <c r="B57">
        <v>3.36</v>
      </c>
      <c r="C57">
        <v>44.88</v>
      </c>
      <c r="D57">
        <v>60.17</v>
      </c>
      <c r="E57">
        <v>1.46</v>
      </c>
      <c r="F57">
        <v>0.05</v>
      </c>
      <c r="G57">
        <v>15.9</v>
      </c>
      <c r="H57">
        <v>0.1</v>
      </c>
      <c r="I57">
        <v>8.8699999999999992</v>
      </c>
      <c r="J57" t="s">
        <v>82</v>
      </c>
      <c r="K57" t="s">
        <v>40</v>
      </c>
      <c r="L57" t="s">
        <v>43</v>
      </c>
      <c r="M57" t="s">
        <v>21</v>
      </c>
    </row>
    <row r="58" spans="1:13" x14ac:dyDescent="0.3">
      <c r="A58" t="s">
        <v>85</v>
      </c>
      <c r="B58">
        <v>6.69</v>
      </c>
      <c r="C58">
        <v>37.840000000000003</v>
      </c>
      <c r="D58">
        <v>58.4</v>
      </c>
      <c r="E58">
        <v>0.28000000000000003</v>
      </c>
      <c r="F58">
        <v>0.33</v>
      </c>
      <c r="G58">
        <v>14.4</v>
      </c>
      <c r="H58">
        <v>1.37</v>
      </c>
      <c r="I58">
        <v>8.49</v>
      </c>
      <c r="J58" t="s">
        <v>23</v>
      </c>
      <c r="K58" t="s">
        <v>40</v>
      </c>
      <c r="L58" t="s">
        <v>20</v>
      </c>
      <c r="M58" t="s">
        <v>30</v>
      </c>
    </row>
    <row r="59" spans="1:13" x14ac:dyDescent="0.3">
      <c r="A59" t="s">
        <v>86</v>
      </c>
      <c r="B59">
        <v>6.27</v>
      </c>
      <c r="C59">
        <v>34.64</v>
      </c>
      <c r="D59">
        <v>35.79</v>
      </c>
      <c r="E59">
        <v>0.12</v>
      </c>
      <c r="F59">
        <v>0.95</v>
      </c>
      <c r="G59">
        <v>35.57</v>
      </c>
      <c r="H59">
        <v>0.09</v>
      </c>
      <c r="I59">
        <v>6.62</v>
      </c>
      <c r="J59" t="s">
        <v>19</v>
      </c>
      <c r="K59" t="s">
        <v>87</v>
      </c>
      <c r="L59" t="s">
        <v>43</v>
      </c>
      <c r="M59" t="s">
        <v>30</v>
      </c>
    </row>
    <row r="60" spans="1:13" x14ac:dyDescent="0.3">
      <c r="A60" t="s">
        <v>88</v>
      </c>
      <c r="B60">
        <v>1.1100000000000001</v>
      </c>
      <c r="C60">
        <v>38.840000000000003</v>
      </c>
      <c r="D60">
        <v>0</v>
      </c>
      <c r="E60">
        <v>2.08</v>
      </c>
      <c r="F60">
        <v>1.54</v>
      </c>
      <c r="G60">
        <v>68.72</v>
      </c>
      <c r="H60">
        <v>0.31</v>
      </c>
      <c r="I60">
        <v>4.83</v>
      </c>
      <c r="J60" t="s">
        <v>27</v>
      </c>
      <c r="K60" t="s">
        <v>87</v>
      </c>
      <c r="L60" t="s">
        <v>43</v>
      </c>
      <c r="M60" t="s">
        <v>44</v>
      </c>
    </row>
    <row r="61" spans="1:13" x14ac:dyDescent="0.3">
      <c r="A61" t="s">
        <v>89</v>
      </c>
      <c r="B61">
        <v>0.75</v>
      </c>
      <c r="C61">
        <v>14.11</v>
      </c>
      <c r="D61">
        <v>29.84</v>
      </c>
      <c r="E61">
        <v>7.0000000000000007E-2</v>
      </c>
      <c r="F61">
        <v>12.15</v>
      </c>
      <c r="G61">
        <v>7.75</v>
      </c>
      <c r="H61">
        <v>0.31</v>
      </c>
      <c r="I61">
        <v>2.2999999999999998</v>
      </c>
      <c r="J61" t="s">
        <v>82</v>
      </c>
      <c r="K61" t="s">
        <v>87</v>
      </c>
      <c r="L61" t="s">
        <v>43</v>
      </c>
      <c r="M61" t="s">
        <v>44</v>
      </c>
    </row>
    <row r="62" spans="1:13" x14ac:dyDescent="0.3">
      <c r="A62" t="s">
        <v>90</v>
      </c>
      <c r="B62">
        <v>2.74</v>
      </c>
      <c r="C62">
        <v>0</v>
      </c>
      <c r="D62">
        <v>50.1</v>
      </c>
      <c r="E62">
        <v>0.45</v>
      </c>
      <c r="F62">
        <v>2.06</v>
      </c>
      <c r="G62">
        <v>7.75</v>
      </c>
      <c r="H62">
        <v>0.33</v>
      </c>
      <c r="I62">
        <v>1.38</v>
      </c>
      <c r="J62" t="s">
        <v>82</v>
      </c>
      <c r="K62" t="s">
        <v>87</v>
      </c>
      <c r="L62" t="s">
        <v>43</v>
      </c>
      <c r="M62" t="s">
        <v>44</v>
      </c>
    </row>
    <row r="63" spans="1:13" x14ac:dyDescent="0.3">
      <c r="A63" t="s">
        <v>91</v>
      </c>
      <c r="B63">
        <v>8</v>
      </c>
      <c r="C63">
        <v>2.4300000000000002</v>
      </c>
      <c r="D63">
        <v>12.48</v>
      </c>
      <c r="E63">
        <v>2.17</v>
      </c>
      <c r="F63">
        <v>1.0900000000000001</v>
      </c>
      <c r="G63">
        <v>13.92</v>
      </c>
      <c r="H63">
        <v>0.27</v>
      </c>
      <c r="I63">
        <v>0</v>
      </c>
      <c r="J63" t="s">
        <v>19</v>
      </c>
      <c r="K63" t="s">
        <v>87</v>
      </c>
      <c r="L63" t="s">
        <v>43</v>
      </c>
      <c r="M63" t="s">
        <v>44</v>
      </c>
    </row>
  </sheetData>
  <autoFilter ref="A1:A63" xr:uid="{C207E7A1-6DDC-422A-B4E6-D69FB0CDF22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AI_globaldashboard</vt:lpstr>
      <vt:lpstr>Sheet3</vt:lpstr>
      <vt:lpstr>Sheet4</vt:lpstr>
      <vt:lpstr>Sheet5</vt:lpstr>
      <vt:lpstr>Sheet6</vt:lpstr>
      <vt:lpstr>Sheet2</vt:lpstr>
      <vt:lpstr>AI_index_db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Aparna K P</dc:creator>
  <cp:lastModifiedBy>Aparna K P</cp:lastModifiedBy>
  <dcterms:created xsi:type="dcterms:W3CDTF">2025-11-10T18:37:41Z</dcterms:created>
  <dcterms:modified xsi:type="dcterms:W3CDTF">2025-11-13T09:49:39Z</dcterms:modified>
</cp:coreProperties>
</file>